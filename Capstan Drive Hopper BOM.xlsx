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per\Documents\Summer_UROP\hopping_robot\CAD\Parts\Capstan-Drive-Hopper\"/>
    </mc:Choice>
  </mc:AlternateContent>
  <xr:revisionPtr revIDLastSave="0" documentId="13_ncr:1_{17EE44C1-6548-47C0-8593-EB78FABBCA9A}" xr6:coauthVersionLast="47" xr6:coauthVersionMax="47" xr10:uidLastSave="{00000000-0000-0000-0000-000000000000}"/>
  <bookViews>
    <workbookView xWindow="-120" yWindow="-120" windowWidth="38640" windowHeight="21840" xr2:uid="{524B48DA-7D71-4E1E-A711-D21F403C7411}"/>
  </bookViews>
  <sheets>
    <sheet name="Hopper BOM" sheetId="2" r:id="rId1"/>
    <sheet name="Alternate Motor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4" i="3" l="1"/>
  <c r="O5" i="3"/>
  <c r="O6" i="3"/>
  <c r="O7" i="3"/>
  <c r="O8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3" i="3"/>
  <c r="H20" i="3"/>
  <c r="N20" i="3"/>
  <c r="H23" i="3"/>
  <c r="N23" i="3"/>
  <c r="H22" i="3"/>
  <c r="N22" i="3"/>
  <c r="H21" i="3"/>
  <c r="N21" i="3"/>
  <c r="H24" i="3"/>
  <c r="N24" i="3"/>
  <c r="H25" i="3"/>
  <c r="N25" i="3"/>
  <c r="H18" i="3"/>
  <c r="N18" i="3"/>
  <c r="H10" i="3"/>
  <c r="N10" i="3"/>
  <c r="H13" i="3"/>
  <c r="N13" i="3"/>
  <c r="H16" i="3"/>
  <c r="N16" i="3"/>
  <c r="H15" i="3"/>
  <c r="N15" i="3"/>
  <c r="N14" i="3"/>
  <c r="H14" i="3"/>
  <c r="N17" i="3"/>
  <c r="H17" i="3"/>
  <c r="N12" i="3"/>
  <c r="H12" i="3"/>
  <c r="H7" i="3"/>
  <c r="N7" i="3"/>
  <c r="H8" i="3"/>
  <c r="N8" i="3"/>
  <c r="H6" i="3"/>
  <c r="N6" i="3"/>
  <c r="N5" i="3"/>
  <c r="H5" i="3"/>
  <c r="H27" i="3"/>
  <c r="N27" i="3"/>
  <c r="H26" i="3"/>
  <c r="N26" i="3"/>
  <c r="N19" i="3"/>
  <c r="H19" i="3"/>
  <c r="N11" i="3"/>
  <c r="N4" i="3"/>
  <c r="N3" i="3"/>
  <c r="H4" i="3"/>
  <c r="H11" i="3"/>
  <c r="H3" i="3"/>
  <c r="G32" i="2"/>
  <c r="G33" i="2"/>
  <c r="G34" i="2"/>
  <c r="G36" i="2"/>
  <c r="G37" i="2"/>
  <c r="G31" i="2"/>
  <c r="G4" i="2"/>
  <c r="G3" i="2"/>
  <c r="G28" i="2" l="1"/>
  <c r="G38" i="2"/>
  <c r="G40" i="2" l="1"/>
</calcChain>
</file>

<file path=xl/sharedStrings.xml><?xml version="1.0" encoding="utf-8"?>
<sst xmlns="http://schemas.openxmlformats.org/spreadsheetml/2006/main" count="168" uniqueCount="111">
  <si>
    <t>Part Name</t>
  </si>
  <si>
    <t>Source</t>
  </si>
  <si>
    <t>Moteus r4.11 Motor Controller</t>
  </si>
  <si>
    <t>MJBots</t>
  </si>
  <si>
    <t>Price of Component / £</t>
  </si>
  <si>
    <t>M3 Heat-Fix Threaded Insert</t>
  </si>
  <si>
    <t>Accu</t>
  </si>
  <si>
    <t>0.08-0.88</t>
  </si>
  <si>
    <t>Qty. Desired</t>
  </si>
  <si>
    <t>Qty. Required</t>
  </si>
  <si>
    <t>Qty. Desired Cost / £</t>
  </si>
  <si>
    <t>15x28x7mm Thin Section Bearing</t>
  </si>
  <si>
    <t>1.34-2.68</t>
  </si>
  <si>
    <t>M3 x 8mm Countersunk Screw</t>
  </si>
  <si>
    <t>0.02-0.78</t>
  </si>
  <si>
    <t>M6 x 30mm Cap Head Screw</t>
  </si>
  <si>
    <t>0.09-0.94</t>
  </si>
  <si>
    <t>M2 Heat-Fix Threaded Insert</t>
  </si>
  <si>
    <t>0.05-0.80</t>
  </si>
  <si>
    <t>Hopper_Base PLA</t>
  </si>
  <si>
    <t>Controller_Cover PLA</t>
  </si>
  <si>
    <t>M2 x 14mm Phillips Pan-Head Screw</t>
  </si>
  <si>
    <t>0.04-0.84</t>
  </si>
  <si>
    <t>Cover_Under PLA</t>
  </si>
  <si>
    <t>M4 x 60mm Cap Head Screw</t>
  </si>
  <si>
    <t>0.13-1.02</t>
  </si>
  <si>
    <t>M4 x 100mm Cap Head Screw</t>
  </si>
  <si>
    <t>1.57-3.62</t>
  </si>
  <si>
    <t>M4 Locking Nut</t>
  </si>
  <si>
    <t>Cover PLA</t>
  </si>
  <si>
    <t>Small_Pulley Resin (2 Parts)</t>
  </si>
  <si>
    <t>n/a</t>
  </si>
  <si>
    <t>M3 x 50mm Cap Head Screw</t>
  </si>
  <si>
    <t>0.07-0.89</t>
  </si>
  <si>
    <t>M3 x 10mm Cap Head Screw</t>
  </si>
  <si>
    <t>0.02-0.79</t>
  </si>
  <si>
    <t>M3 x 12mm Countersunk Screw</t>
  </si>
  <si>
    <t>M3 x 16mm Cap Head Screw</t>
  </si>
  <si>
    <t>Big_Drum_Hip PLA</t>
  </si>
  <si>
    <t>40x50x6mm Thin Section Bearing</t>
  </si>
  <si>
    <t>Bearingboys</t>
  </si>
  <si>
    <t>M4 x 28mm Pan Head Screw</t>
  </si>
  <si>
    <t>0.09-0.98</t>
  </si>
  <si>
    <t>Calf_Body PLA</t>
  </si>
  <si>
    <t>M4 x 40mm Cap Head Screw</t>
  </si>
  <si>
    <t>0.08-0.90</t>
  </si>
  <si>
    <t>Capstan Drive Hopper BOM</t>
  </si>
  <si>
    <t>Generic Parts</t>
  </si>
  <si>
    <t>3D-Printed Parts</t>
  </si>
  <si>
    <t>Material</t>
  </si>
  <si>
    <t>Weight of Component / g</t>
  </si>
  <si>
    <t>Qty. Cost of Material</t>
  </si>
  <si>
    <t>Eaglepower 8308 KV90</t>
  </si>
  <si>
    <t>AliExpress</t>
  </si>
  <si>
    <t>Total Part Cost / £</t>
  </si>
  <si>
    <t>Source from normal filament location</t>
  </si>
  <si>
    <t>PLA</t>
  </si>
  <si>
    <t>Total 3DP Filament Cost / £</t>
  </si>
  <si>
    <t>Est. PLA Cost Per kg / £</t>
  </si>
  <si>
    <t>Resin</t>
  </si>
  <si>
    <t>Total Hopper Cost / £</t>
  </si>
  <si>
    <t>3DXR</t>
  </si>
  <si>
    <t>Current</t>
  </si>
  <si>
    <t>MAD Components M6C06</t>
  </si>
  <si>
    <t>MAD</t>
  </si>
  <si>
    <t>Dyneema DM20 2mm Diameter</t>
  </si>
  <si>
    <t>Mastrant</t>
  </si>
  <si>
    <t>1m</t>
  </si>
  <si>
    <t>10m</t>
  </si>
  <si>
    <t>0.55 / m</t>
  </si>
  <si>
    <t>M2 8mm Stand-off</t>
  </si>
  <si>
    <t>0.51-1.56</t>
  </si>
  <si>
    <t>TO BE DETERMINED</t>
  </si>
  <si>
    <t>Money Criteria</t>
  </si>
  <si>
    <t>Physical Properties</t>
  </si>
  <si>
    <t>Mass / g</t>
  </si>
  <si>
    <t>Peak Current / A</t>
  </si>
  <si>
    <t>KV Value / RPM/V</t>
  </si>
  <si>
    <t>Motor Pulley Designs TBD</t>
  </si>
  <si>
    <t>Peak cont. power / W</t>
  </si>
  <si>
    <t>Aaed Musa's Design</t>
  </si>
  <si>
    <t>Stanford Doggo</t>
  </si>
  <si>
    <t>Stall torque (est) / Nm</t>
  </si>
  <si>
    <t>T-Motor U8II KV100</t>
  </si>
  <si>
    <t>T-Motor U8II KV85</t>
  </si>
  <si>
    <t>MAD Components M8S C08</t>
  </si>
  <si>
    <t>Hobbywing M6215-HIGHTPROT</t>
  </si>
  <si>
    <t>Hobbywing</t>
  </si>
  <si>
    <t>French Warehouse, Conflicting Pmax information</t>
  </si>
  <si>
    <t>Hobbywing M8110 Light</t>
  </si>
  <si>
    <t>950?</t>
  </si>
  <si>
    <t>2000?</t>
  </si>
  <si>
    <t>Hobbywing M8108 Light</t>
  </si>
  <si>
    <t>Shipping, VAT inc.?</t>
  </si>
  <si>
    <t>T-Motor Antigravity 5008 170KV</t>
  </si>
  <si>
    <t>T-Motor Antigravity 5008 340KV</t>
  </si>
  <si>
    <t>T-Motor MN4112 320KV</t>
  </si>
  <si>
    <t>T-Motor MN501-S 300KV</t>
  </si>
  <si>
    <t>T-Motor MN501-S 240KV</t>
  </si>
  <si>
    <t>T-Motor MN5208 340KV</t>
  </si>
  <si>
    <t>T-Motor MN5212 340KV</t>
  </si>
  <si>
    <t>T-Motor Antigravity MN5006</t>
  </si>
  <si>
    <t>T-Motor P60 Pins 170KV</t>
  </si>
  <si>
    <t>T-Motor P60 Pins 340KV</t>
  </si>
  <si>
    <t>T-Motor V602</t>
  </si>
  <si>
    <t>T-Motor VL6011 KV180</t>
  </si>
  <si>
    <t>T-Motor VL5009 KV275</t>
  </si>
  <si>
    <t>T-Motor Antigravity 6007II 160KV</t>
  </si>
  <si>
    <t>T-Motor Antigravity 6007II 320KV</t>
  </si>
  <si>
    <t>T-Motor V505</t>
  </si>
  <si>
    <t>ST per kg / Nm/kg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</si>
</sst>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1" applyBorder="1"/>
    <xf numFmtId="0" fontId="1" fillId="0" borderId="1" xfId="1" applyBorder="1"/>
    <xf numFmtId="0" fontId="0" fillId="0" borderId="1" xfId="0" applyBorder="1"/>
    <xf numFmtId="0" fontId="1" fillId="0" borderId="0" xfId="1" applyFill="1" applyBorder="1"/>
    <xf numFmtId="0" fontId="3" fillId="0" borderId="0" xfId="0" applyFont="1" applyAlignment="1">
      <alignment horizontal="center" textRotation="90"/>
    </xf>
    <xf numFmtId="0" fontId="0" fillId="0" borderId="0" xfId="0" applyAlignment="1">
      <alignment horizontal="center" textRotation="90"/>
    </xf>
    <xf numFmtId="0" fontId="1" fillId="4" borderId="0" xfId="1" applyFill="1" applyBorder="1"/>
    <xf numFmtId="0" fontId="2" fillId="4" borderId="0" xfId="0" applyFont="1" applyFill="1"/>
    <xf numFmtId="0" fontId="0" fillId="0" borderId="0" xfId="0" applyBorder="1" applyAlignment="1">
      <alignment horizontal="center"/>
    </xf>
    <xf numFmtId="0" fontId="2" fillId="3" borderId="3" xfId="0" applyFont="1" applyFill="1" applyBorder="1"/>
    <xf numFmtId="0" fontId="2" fillId="3" borderId="4" xfId="0" applyFont="1" applyFill="1" applyBorder="1"/>
    <xf numFmtId="0" fontId="2" fillId="3" borderId="5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0" xfId="1" applyBorder="1"/>
    <xf numFmtId="0" fontId="0" fillId="0" borderId="10" xfId="0" applyBorder="1"/>
    <xf numFmtId="0" fontId="0" fillId="0" borderId="11" xfId="0" applyBorder="1"/>
    <xf numFmtId="0" fontId="3" fillId="0" borderId="0" xfId="0" applyFont="1" applyBorder="1" applyAlignment="1">
      <alignment horizontal="center" textRotation="90"/>
    </xf>
    <xf numFmtId="0" fontId="0" fillId="0" borderId="0" xfId="0" applyBorder="1" applyAlignment="1">
      <alignment horizontal="center" textRotation="90"/>
    </xf>
    <xf numFmtId="0" fontId="0" fillId="0" borderId="12" xfId="0" applyBorder="1" applyAlignment="1">
      <alignment horizontal="center"/>
    </xf>
    <xf numFmtId="0" fontId="0" fillId="4" borderId="6" xfId="0" applyFill="1" applyBorder="1"/>
    <xf numFmtId="0" fontId="0" fillId="4" borderId="0" xfId="0" applyFill="1" applyBorder="1"/>
    <xf numFmtId="0" fontId="0" fillId="4" borderId="13" xfId="0" applyFill="1" applyBorder="1"/>
    <xf numFmtId="0" fontId="0" fillId="0" borderId="14" xfId="0" applyBorder="1"/>
    <xf numFmtId="0" fontId="0" fillId="0" borderId="15" xfId="0" applyBorder="1"/>
    <xf numFmtId="0" fontId="0" fillId="2" borderId="16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2" fillId="0" borderId="19" xfId="0" applyFont="1" applyBorder="1"/>
    <xf numFmtId="0" fontId="0" fillId="4" borderId="8" xfId="0" applyFill="1" applyBorder="1"/>
    <xf numFmtId="0" fontId="0" fillId="4" borderId="7" xfId="0" applyFill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0" fillId="0" borderId="0" xfId="0" applyFill="1" applyBorder="1"/>
    <xf numFmtId="0" fontId="1" fillId="0" borderId="2" xfId="1" applyBorder="1"/>
    <xf numFmtId="0" fontId="0" fillId="0" borderId="8" xfId="0" applyFill="1" applyBorder="1"/>
    <xf numFmtId="0" fontId="0" fillId="0" borderId="9" xfId="0" applyFill="1" applyBorder="1"/>
    <xf numFmtId="0" fontId="0" fillId="0" borderId="10" xfId="0" applyFill="1" applyBorder="1"/>
    <xf numFmtId="0" fontId="0" fillId="5" borderId="0" xfId="0" applyFill="1" applyBorder="1"/>
    <xf numFmtId="0" fontId="0" fillId="5" borderId="10" xfId="0" applyFill="1" applyBorder="1"/>
    <xf numFmtId="0" fontId="0" fillId="2" borderId="0" xfId="0" applyFill="1" applyBorder="1"/>
    <xf numFmtId="0" fontId="0" fillId="0" borderId="22" xfId="0" applyBorder="1"/>
    <xf numFmtId="0" fontId="1" fillId="0" borderId="23" xfId="1" applyBorder="1"/>
    <xf numFmtId="0" fontId="0" fillId="0" borderId="23" xfId="0" applyBorder="1"/>
    <xf numFmtId="0" fontId="0" fillId="2" borderId="23" xfId="0" applyFill="1" applyBorder="1"/>
    <xf numFmtId="0" fontId="0" fillId="0" borderId="24" xfId="0" applyBorder="1"/>
    <xf numFmtId="0" fontId="0" fillId="2" borderId="10" xfId="0" applyFill="1" applyBorder="1"/>
    <xf numFmtId="0" fontId="0" fillId="0" borderId="23" xfId="0" applyFill="1" applyBorder="1"/>
    <xf numFmtId="0" fontId="0" fillId="0" borderId="22" xfId="0" applyFill="1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2" fillId="3" borderId="28" xfId="0" applyFont="1" applyFill="1" applyBorder="1"/>
    <xf numFmtId="0" fontId="2" fillId="3" borderId="29" xfId="0" applyFont="1" applyFill="1" applyBorder="1"/>
    <xf numFmtId="0" fontId="2" fillId="3" borderId="30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ccu.co.uk/countersunk-socket-head-screws/5425-SSK-M3-12-A2" TargetMode="External"/><Relationship Id="rId13" Type="http://schemas.openxmlformats.org/officeDocument/2006/relationships/hyperlink" Target="https://www.accu.co.uk/torx-pan-head-screws/475422-SHP-M4-28-V2-A2" TargetMode="External"/><Relationship Id="rId18" Type="http://schemas.openxmlformats.org/officeDocument/2006/relationships/hyperlink" Target="https://www.aliexpress.com/item/1005003421356221.html" TargetMode="External"/><Relationship Id="rId3" Type="http://schemas.openxmlformats.org/officeDocument/2006/relationships/hyperlink" Target="https://www.accu.co.uk/brass-threaded-inserts/985938-HTFBI-M2-BR" TargetMode="External"/><Relationship Id="rId7" Type="http://schemas.openxmlformats.org/officeDocument/2006/relationships/hyperlink" Target="https://www.accu.co.uk/metric-cap-head-screws/3819-SSCF-M3-10-A2" TargetMode="External"/><Relationship Id="rId12" Type="http://schemas.openxmlformats.org/officeDocument/2006/relationships/hyperlink" Target="https://www.accu.co.uk/hexagon-nylon-locking-nuts/7946-HNN-M4-A2" TargetMode="External"/><Relationship Id="rId17" Type="http://schemas.openxmlformats.org/officeDocument/2006/relationships/hyperlink" Target="https://www.bearingboys.co.uk/Thin-Section-Ball-Bearings/61708-Budget-Open-Thin-Section-Ball-Bearing-40mm-x-50mm-x-6mm-373953-p" TargetMode="External"/><Relationship Id="rId2" Type="http://schemas.openxmlformats.org/officeDocument/2006/relationships/hyperlink" Target="https://www.accu.co.uk/phillips-pan-head-screws/65368-SIP-M2-14-A2" TargetMode="External"/><Relationship Id="rId16" Type="http://schemas.openxmlformats.org/officeDocument/2006/relationships/hyperlink" Target="https://www.accu.co.uk/thin-section-ball-bearings/986969-S61902-2RS" TargetMode="External"/><Relationship Id="rId20" Type="http://schemas.openxmlformats.org/officeDocument/2006/relationships/hyperlink" Target="https://www.accu.co.uk/threaded-standoffs/464634-HHTPS-M2-4-8-BR-NI" TargetMode="External"/><Relationship Id="rId1" Type="http://schemas.openxmlformats.org/officeDocument/2006/relationships/hyperlink" Target="https://mjbots.com/products/moteus-r4-11" TargetMode="External"/><Relationship Id="rId6" Type="http://schemas.openxmlformats.org/officeDocument/2006/relationships/hyperlink" Target="https://www.accu.co.uk/metric-cap-head-screws/2809-SSC-M3-50-A2" TargetMode="External"/><Relationship Id="rId11" Type="http://schemas.openxmlformats.org/officeDocument/2006/relationships/hyperlink" Target="https://www.accu.co.uk/metric-cap-head-screws/10645-SSC-M4-100-A2" TargetMode="External"/><Relationship Id="rId5" Type="http://schemas.openxmlformats.org/officeDocument/2006/relationships/hyperlink" Target="https://www.accu.co.uk/countersunk-socket-head-screws/5423-SSK-M3-8-A2" TargetMode="External"/><Relationship Id="rId15" Type="http://schemas.openxmlformats.org/officeDocument/2006/relationships/hyperlink" Target="https://www.accu.co.uk/metric-cap-head-screws/2872-SSC-M6-30-A2" TargetMode="External"/><Relationship Id="rId10" Type="http://schemas.openxmlformats.org/officeDocument/2006/relationships/hyperlink" Target="https://www.accu.co.uk/metric-cap-head-screws/2837-SSC-M4-60-A2" TargetMode="External"/><Relationship Id="rId19" Type="http://schemas.openxmlformats.org/officeDocument/2006/relationships/hyperlink" Target="https://www.mastrant.com/on-line-shop/product/3907-guyrope-mastrant-m-2-mm-3-32-in" TargetMode="External"/><Relationship Id="rId4" Type="http://schemas.openxmlformats.org/officeDocument/2006/relationships/hyperlink" Target="https://www.accu.co.uk/brass-threaded-inserts/849039-HTBTEI-M3-BR" TargetMode="External"/><Relationship Id="rId9" Type="http://schemas.openxmlformats.org/officeDocument/2006/relationships/hyperlink" Target="https://www.accu.co.uk/metric-cap-head-screws/3822-SSCF-M3-16-A2" TargetMode="External"/><Relationship Id="rId14" Type="http://schemas.openxmlformats.org/officeDocument/2006/relationships/hyperlink" Target="https://www.accu.co.uk/metric-cap-head-screws/2833-SSC-M4-40-A2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3dxr.co.uk/products/t-motor-u8ii?variant=63500341182813" TargetMode="External"/><Relationship Id="rId13" Type="http://schemas.openxmlformats.org/officeDocument/2006/relationships/hyperlink" Target="https://www.3dxr.co.uk/products/t-motor-antigravity-5008" TargetMode="External"/><Relationship Id="rId18" Type="http://schemas.openxmlformats.org/officeDocument/2006/relationships/hyperlink" Target="https://www.3dxr.co.uk/products/t-motor-mn4112" TargetMode="External"/><Relationship Id="rId26" Type="http://schemas.openxmlformats.org/officeDocument/2006/relationships/hyperlink" Target="https://www.3dxr.co.uk/products/t-motor-v505" TargetMode="External"/><Relationship Id="rId3" Type="http://schemas.openxmlformats.org/officeDocument/2006/relationships/hyperlink" Target="https://mad-motor.com/products/m6c06-eee-v3-brushless-drone-motor?VariantsId=11290" TargetMode="External"/><Relationship Id="rId21" Type="http://schemas.openxmlformats.org/officeDocument/2006/relationships/hyperlink" Target="https://www.3dxr.co.uk/products/t-motor-v602" TargetMode="External"/><Relationship Id="rId7" Type="http://schemas.openxmlformats.org/officeDocument/2006/relationships/hyperlink" Target="https://www.3dxr.co.uk/products/t-motor-u8ii?variant=63500341182813" TargetMode="External"/><Relationship Id="rId12" Type="http://schemas.openxmlformats.org/officeDocument/2006/relationships/hyperlink" Target="https://hobbywinguav.com/product/m8108-light/" TargetMode="External"/><Relationship Id="rId17" Type="http://schemas.openxmlformats.org/officeDocument/2006/relationships/hyperlink" Target="https://www.3dxr.co.uk/products/t-motor-mn501-s" TargetMode="External"/><Relationship Id="rId25" Type="http://schemas.openxmlformats.org/officeDocument/2006/relationships/hyperlink" Target="https://www.3dxr.co.uk/products/t-motor-antigravity-6007ii" TargetMode="External"/><Relationship Id="rId2" Type="http://schemas.openxmlformats.org/officeDocument/2006/relationships/hyperlink" Target="https://www.3dxr.co.uk/products/t-motor-antigravity-5008" TargetMode="External"/><Relationship Id="rId16" Type="http://schemas.openxmlformats.org/officeDocument/2006/relationships/hyperlink" Target="https://www.3dxr.co.uk/products/t-motor-mn501-s" TargetMode="External"/><Relationship Id="rId20" Type="http://schemas.openxmlformats.org/officeDocument/2006/relationships/hyperlink" Target="https://www.3dxr.co.uk/products/t-motor-t-motor-p60-pins" TargetMode="External"/><Relationship Id="rId1" Type="http://schemas.openxmlformats.org/officeDocument/2006/relationships/hyperlink" Target="https://www.aliexpress.com/item/1005003421356221.html" TargetMode="External"/><Relationship Id="rId6" Type="http://schemas.openxmlformats.org/officeDocument/2006/relationships/hyperlink" Target="https://www.3dxr.co.uk/products/t-motor-multirotor-fixed-wing-mn5212-motor?_pos=2&amp;_fid=cc783bb3e&amp;_ss=c" TargetMode="External"/><Relationship Id="rId11" Type="http://schemas.openxmlformats.org/officeDocument/2006/relationships/hyperlink" Target="https://hobbywinguav.com/product/m8110-light/" TargetMode="External"/><Relationship Id="rId24" Type="http://schemas.openxmlformats.org/officeDocument/2006/relationships/hyperlink" Target="https://www.3dxr.co.uk/products/t-motor-antigravity-6007ii" TargetMode="External"/><Relationship Id="rId5" Type="http://schemas.openxmlformats.org/officeDocument/2006/relationships/hyperlink" Target="https://github.com/Nate711/StanfordDoggoProject" TargetMode="External"/><Relationship Id="rId15" Type="http://schemas.openxmlformats.org/officeDocument/2006/relationships/hyperlink" Target="https://www.3dxr.co.uk/products/t-motor-mn5208-kv340" TargetMode="External"/><Relationship Id="rId23" Type="http://schemas.openxmlformats.org/officeDocument/2006/relationships/hyperlink" Target="https://www.3dxr.co.uk/products/t-motor-vl5009-kv275" TargetMode="External"/><Relationship Id="rId10" Type="http://schemas.openxmlformats.org/officeDocument/2006/relationships/hyperlink" Target="https://hobbywinguav.com/product/m6215-hightprot/" TargetMode="External"/><Relationship Id="rId19" Type="http://schemas.openxmlformats.org/officeDocument/2006/relationships/hyperlink" Target="https://www.3dxr.co.uk/products/t-motor-antigravity-5006" TargetMode="External"/><Relationship Id="rId4" Type="http://schemas.openxmlformats.org/officeDocument/2006/relationships/hyperlink" Target="https://www.aaedmusa.com/projects/capstandrive" TargetMode="External"/><Relationship Id="rId9" Type="http://schemas.openxmlformats.org/officeDocument/2006/relationships/hyperlink" Target="https://mad-motor.com/products/m8s-c08-ipe-brushless-drone-motor" TargetMode="External"/><Relationship Id="rId14" Type="http://schemas.openxmlformats.org/officeDocument/2006/relationships/hyperlink" Target="https://www.3dxr.co.uk/products/t-motor-t-motor-p60-pins" TargetMode="External"/><Relationship Id="rId22" Type="http://schemas.openxmlformats.org/officeDocument/2006/relationships/hyperlink" Target="https://www.3dxr.co.uk/products/t-motor-vl6011-kv18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55AF-2391-442A-B596-D0A4A918F669}">
  <dimension ref="A1:I41"/>
  <sheetViews>
    <sheetView tabSelected="1" workbookViewId="0">
      <selection activeCell="K38" sqref="K38"/>
    </sheetView>
  </sheetViews>
  <sheetFormatPr defaultRowHeight="15" x14ac:dyDescent="0.25"/>
  <cols>
    <col min="2" max="2" width="30.7109375" bestFit="1" customWidth="1"/>
    <col min="3" max="3" width="11.85546875" bestFit="1" customWidth="1"/>
    <col min="4" max="4" width="22" bestFit="1" customWidth="1"/>
    <col min="5" max="5" width="13.5703125" bestFit="1" customWidth="1"/>
    <col min="6" max="6" width="12.28515625" bestFit="1" customWidth="1"/>
    <col min="7" max="7" width="19.85546875" bestFit="1" customWidth="1"/>
    <col min="8" max="8" width="33" bestFit="1" customWidth="1"/>
  </cols>
  <sheetData>
    <row r="1" spans="1:8" ht="15.75" thickBot="1" x14ac:dyDescent="0.3">
      <c r="B1" s="23" t="s">
        <v>46</v>
      </c>
      <c r="C1" s="23"/>
      <c r="D1" s="23"/>
      <c r="E1" s="23"/>
      <c r="F1" s="23"/>
      <c r="G1" s="23"/>
    </row>
    <row r="2" spans="1:8" x14ac:dyDescent="0.25">
      <c r="B2" s="10" t="s">
        <v>0</v>
      </c>
      <c r="C2" s="11" t="s">
        <v>1</v>
      </c>
      <c r="D2" s="11" t="s">
        <v>4</v>
      </c>
      <c r="E2" s="11" t="s">
        <v>9</v>
      </c>
      <c r="F2" s="11" t="s">
        <v>8</v>
      </c>
      <c r="G2" s="12" t="s">
        <v>10</v>
      </c>
    </row>
    <row r="3" spans="1:8" x14ac:dyDescent="0.25">
      <c r="A3" s="21" t="s">
        <v>47</v>
      </c>
      <c r="B3" s="24" t="s">
        <v>52</v>
      </c>
      <c r="C3" s="7" t="s">
        <v>53</v>
      </c>
      <c r="D3" s="25">
        <v>65.72</v>
      </c>
      <c r="E3" s="25">
        <v>2</v>
      </c>
      <c r="F3" s="25">
        <v>2</v>
      </c>
      <c r="G3" s="26">
        <f>F3*D3</f>
        <v>131.44</v>
      </c>
      <c r="H3" s="8" t="s">
        <v>72</v>
      </c>
    </row>
    <row r="4" spans="1:8" x14ac:dyDescent="0.25">
      <c r="A4" s="22"/>
      <c r="B4" s="16" t="s">
        <v>2</v>
      </c>
      <c r="C4" s="1" t="s">
        <v>3</v>
      </c>
      <c r="D4" s="14">
        <v>70.55</v>
      </c>
      <c r="E4" s="14">
        <v>2</v>
      </c>
      <c r="F4" s="14">
        <v>2</v>
      </c>
      <c r="G4" s="15">
        <f>F4*D4</f>
        <v>141.1</v>
      </c>
    </row>
    <row r="5" spans="1:8" x14ac:dyDescent="0.25">
      <c r="A5" s="22"/>
      <c r="B5" s="16"/>
      <c r="C5" s="14"/>
      <c r="D5" s="14"/>
      <c r="E5" s="14"/>
      <c r="F5" s="14"/>
      <c r="G5" s="15"/>
      <c r="H5" s="8" t="s">
        <v>78</v>
      </c>
    </row>
    <row r="6" spans="1:8" x14ac:dyDescent="0.25">
      <c r="A6" s="22"/>
      <c r="B6" s="16" t="s">
        <v>11</v>
      </c>
      <c r="C6" s="1" t="s">
        <v>6</v>
      </c>
      <c r="D6" s="14" t="s">
        <v>12</v>
      </c>
      <c r="E6" s="14">
        <v>3</v>
      </c>
      <c r="F6" s="14">
        <v>4</v>
      </c>
      <c r="G6" s="15">
        <v>7.64</v>
      </c>
    </row>
    <row r="7" spans="1:8" x14ac:dyDescent="0.25">
      <c r="A7" s="22"/>
      <c r="B7" s="16" t="s">
        <v>39</v>
      </c>
      <c r="C7" s="1" t="s">
        <v>40</v>
      </c>
      <c r="D7" s="14">
        <v>6.91</v>
      </c>
      <c r="E7" s="14">
        <v>4</v>
      </c>
      <c r="F7" s="14">
        <v>5</v>
      </c>
      <c r="G7" s="15">
        <v>34.549999999999997</v>
      </c>
    </row>
    <row r="8" spans="1:8" x14ac:dyDescent="0.25">
      <c r="A8" s="22"/>
      <c r="B8" s="16" t="s">
        <v>65</v>
      </c>
      <c r="C8" s="1" t="s">
        <v>66</v>
      </c>
      <c r="D8" s="14" t="s">
        <v>69</v>
      </c>
      <c r="E8" s="14" t="s">
        <v>67</v>
      </c>
      <c r="F8" s="14" t="s">
        <v>68</v>
      </c>
      <c r="G8" s="15">
        <v>5.5</v>
      </c>
    </row>
    <row r="9" spans="1:8" x14ac:dyDescent="0.25">
      <c r="A9" s="22"/>
      <c r="B9" s="16"/>
      <c r="C9" s="14"/>
      <c r="D9" s="14"/>
      <c r="E9" s="14"/>
      <c r="F9" s="14"/>
      <c r="G9" s="15"/>
    </row>
    <row r="10" spans="1:8" x14ac:dyDescent="0.25">
      <c r="A10" s="22"/>
      <c r="B10" s="16" t="s">
        <v>21</v>
      </c>
      <c r="C10" s="1" t="s">
        <v>6</v>
      </c>
      <c r="D10" s="14" t="s">
        <v>22</v>
      </c>
      <c r="E10" s="14">
        <v>8</v>
      </c>
      <c r="F10" s="14">
        <v>12</v>
      </c>
      <c r="G10" s="15">
        <v>2.04</v>
      </c>
    </row>
    <row r="11" spans="1:8" x14ac:dyDescent="0.25">
      <c r="A11" s="22"/>
      <c r="B11" s="16" t="s">
        <v>17</v>
      </c>
      <c r="C11" s="1" t="s">
        <v>6</v>
      </c>
      <c r="D11" s="14" t="s">
        <v>18</v>
      </c>
      <c r="E11" s="14">
        <v>8</v>
      </c>
      <c r="F11" s="14">
        <v>12</v>
      </c>
      <c r="G11" s="15">
        <v>1.68</v>
      </c>
    </row>
    <row r="12" spans="1:8" x14ac:dyDescent="0.25">
      <c r="A12" s="22"/>
      <c r="B12" s="16" t="s">
        <v>70</v>
      </c>
      <c r="C12" s="4" t="s">
        <v>6</v>
      </c>
      <c r="D12" s="14" t="s">
        <v>71</v>
      </c>
      <c r="E12" s="14">
        <v>8</v>
      </c>
      <c r="F12" s="14">
        <v>12</v>
      </c>
      <c r="G12" s="15">
        <v>9.24</v>
      </c>
    </row>
    <row r="13" spans="1:8" x14ac:dyDescent="0.25">
      <c r="A13" s="22"/>
      <c r="B13" s="16"/>
      <c r="C13" s="14"/>
      <c r="D13" s="14"/>
      <c r="E13" s="14"/>
      <c r="F13" s="14"/>
      <c r="G13" s="15"/>
    </row>
    <row r="14" spans="1:8" x14ac:dyDescent="0.25">
      <c r="A14" s="22"/>
      <c r="B14" s="16" t="s">
        <v>5</v>
      </c>
      <c r="C14" s="1" t="s">
        <v>6</v>
      </c>
      <c r="D14" s="14" t="s">
        <v>7</v>
      </c>
      <c r="E14" s="14">
        <v>8</v>
      </c>
      <c r="F14" s="14">
        <v>12</v>
      </c>
      <c r="G14" s="15">
        <v>2.4</v>
      </c>
    </row>
    <row r="15" spans="1:8" x14ac:dyDescent="0.25">
      <c r="A15" s="22"/>
      <c r="B15" s="16" t="s">
        <v>13</v>
      </c>
      <c r="C15" s="1" t="s">
        <v>6</v>
      </c>
      <c r="D15" s="14" t="s">
        <v>14</v>
      </c>
      <c r="E15" s="14">
        <v>8</v>
      </c>
      <c r="F15" s="14">
        <v>12</v>
      </c>
      <c r="G15" s="15">
        <v>1.44</v>
      </c>
    </row>
    <row r="16" spans="1:8" x14ac:dyDescent="0.25">
      <c r="A16" s="22"/>
      <c r="B16" s="16" t="s">
        <v>32</v>
      </c>
      <c r="C16" s="1" t="s">
        <v>6</v>
      </c>
      <c r="D16" s="14" t="s">
        <v>33</v>
      </c>
      <c r="E16" s="14">
        <v>4</v>
      </c>
      <c r="F16" s="14">
        <v>4</v>
      </c>
      <c r="G16" s="15">
        <v>1.44</v>
      </c>
    </row>
    <row r="17" spans="1:9" x14ac:dyDescent="0.25">
      <c r="A17" s="22"/>
      <c r="B17" s="16" t="s">
        <v>34</v>
      </c>
      <c r="C17" s="1" t="s">
        <v>6</v>
      </c>
      <c r="D17" s="14" t="s">
        <v>35</v>
      </c>
      <c r="E17" s="14">
        <v>1</v>
      </c>
      <c r="F17" s="14">
        <v>4</v>
      </c>
      <c r="G17" s="15">
        <v>1.08</v>
      </c>
    </row>
    <row r="18" spans="1:9" x14ac:dyDescent="0.25">
      <c r="A18" s="22"/>
      <c r="B18" s="16" t="s">
        <v>36</v>
      </c>
      <c r="C18" s="1" t="s">
        <v>6</v>
      </c>
      <c r="D18" s="14" t="s">
        <v>35</v>
      </c>
      <c r="E18" s="14">
        <v>8</v>
      </c>
      <c r="F18" s="14">
        <v>12</v>
      </c>
      <c r="G18" s="15">
        <v>1.56</v>
      </c>
    </row>
    <row r="19" spans="1:9" x14ac:dyDescent="0.25">
      <c r="A19" s="22"/>
      <c r="B19" s="16" t="s">
        <v>37</v>
      </c>
      <c r="C19" s="1" t="s">
        <v>6</v>
      </c>
      <c r="D19" s="14" t="s">
        <v>35</v>
      </c>
      <c r="E19" s="14">
        <v>8</v>
      </c>
      <c r="F19" s="14">
        <v>12</v>
      </c>
      <c r="G19" s="15">
        <v>1.56</v>
      </c>
    </row>
    <row r="20" spans="1:9" x14ac:dyDescent="0.25">
      <c r="A20" s="22"/>
      <c r="B20" s="16"/>
      <c r="C20" s="14"/>
      <c r="D20" s="14"/>
      <c r="E20" s="14"/>
      <c r="F20" s="14"/>
      <c r="G20" s="15"/>
    </row>
    <row r="21" spans="1:9" x14ac:dyDescent="0.25">
      <c r="A21" s="22"/>
      <c r="B21" s="16" t="s">
        <v>24</v>
      </c>
      <c r="C21" s="1" t="s">
        <v>6</v>
      </c>
      <c r="D21" s="14" t="s">
        <v>25</v>
      </c>
      <c r="E21" s="14">
        <v>4</v>
      </c>
      <c r="F21" s="14">
        <v>4</v>
      </c>
      <c r="G21" s="15">
        <v>1.88</v>
      </c>
    </row>
    <row r="22" spans="1:9" x14ac:dyDescent="0.25">
      <c r="A22" s="22"/>
      <c r="B22" s="16" t="s">
        <v>26</v>
      </c>
      <c r="C22" s="4" t="s">
        <v>6</v>
      </c>
      <c r="D22" s="14" t="s">
        <v>27</v>
      </c>
      <c r="E22" s="14">
        <v>4</v>
      </c>
      <c r="F22" s="14">
        <v>4</v>
      </c>
      <c r="G22" s="15">
        <v>10.88</v>
      </c>
    </row>
    <row r="23" spans="1:9" x14ac:dyDescent="0.25">
      <c r="A23" s="22"/>
      <c r="B23" s="16" t="s">
        <v>28</v>
      </c>
      <c r="C23" s="1" t="s">
        <v>6</v>
      </c>
      <c r="D23" s="14" t="s">
        <v>14</v>
      </c>
      <c r="E23" s="14">
        <v>19</v>
      </c>
      <c r="F23" s="14">
        <v>24</v>
      </c>
      <c r="G23" s="15">
        <v>2.16</v>
      </c>
    </row>
    <row r="24" spans="1:9" x14ac:dyDescent="0.25">
      <c r="A24" s="22"/>
      <c r="B24" s="16" t="s">
        <v>41</v>
      </c>
      <c r="C24" s="1" t="s">
        <v>6</v>
      </c>
      <c r="D24" s="14" t="s">
        <v>42</v>
      </c>
      <c r="E24" s="14">
        <v>8</v>
      </c>
      <c r="F24" s="14">
        <v>8</v>
      </c>
      <c r="G24" s="15">
        <v>2.72</v>
      </c>
    </row>
    <row r="25" spans="1:9" x14ac:dyDescent="0.25">
      <c r="A25" s="22"/>
      <c r="B25" s="16" t="s">
        <v>44</v>
      </c>
      <c r="C25" s="1" t="s">
        <v>6</v>
      </c>
      <c r="D25" s="14" t="s">
        <v>45</v>
      </c>
      <c r="E25" s="14">
        <v>3</v>
      </c>
      <c r="F25" s="14">
        <v>4</v>
      </c>
      <c r="G25" s="15">
        <v>1.48</v>
      </c>
    </row>
    <row r="26" spans="1:9" x14ac:dyDescent="0.25">
      <c r="A26" s="22"/>
      <c r="B26" s="16"/>
      <c r="C26" s="14"/>
      <c r="D26" s="14"/>
      <c r="E26" s="14"/>
      <c r="F26" s="14"/>
      <c r="G26" s="15"/>
    </row>
    <row r="27" spans="1:9" x14ac:dyDescent="0.25">
      <c r="A27" s="22"/>
      <c r="B27" s="27" t="s">
        <v>15</v>
      </c>
      <c r="C27" s="2" t="s">
        <v>6</v>
      </c>
      <c r="D27" s="3" t="s">
        <v>16</v>
      </c>
      <c r="E27" s="3">
        <v>4</v>
      </c>
      <c r="F27" s="3">
        <v>4</v>
      </c>
      <c r="G27" s="28">
        <v>1.6</v>
      </c>
    </row>
    <row r="28" spans="1:9" ht="15.75" thickBot="1" x14ac:dyDescent="0.3">
      <c r="B28" s="29" t="s">
        <v>54</v>
      </c>
      <c r="C28" s="30"/>
      <c r="D28" s="30"/>
      <c r="E28" s="30"/>
      <c r="F28" s="31"/>
      <c r="G28" s="32">
        <f>SUM(G3:G27)</f>
        <v>363.39000000000004</v>
      </c>
    </row>
    <row r="29" spans="1:9" ht="15.75" thickBot="1" x14ac:dyDescent="0.3"/>
    <row r="30" spans="1:9" x14ac:dyDescent="0.25">
      <c r="A30" s="5" t="s">
        <v>48</v>
      </c>
      <c r="B30" s="10" t="s">
        <v>0</v>
      </c>
      <c r="C30" s="11" t="s">
        <v>49</v>
      </c>
      <c r="D30" s="11" t="s">
        <v>50</v>
      </c>
      <c r="E30" s="11" t="s">
        <v>9</v>
      </c>
      <c r="F30" s="11" t="s">
        <v>8</v>
      </c>
      <c r="G30" s="12" t="s">
        <v>51</v>
      </c>
      <c r="H30" t="s">
        <v>55</v>
      </c>
    </row>
    <row r="31" spans="1:9" x14ac:dyDescent="0.25">
      <c r="A31" s="6"/>
      <c r="B31" s="13" t="s">
        <v>19</v>
      </c>
      <c r="C31" s="14" t="s">
        <v>56</v>
      </c>
      <c r="D31" s="14">
        <v>333</v>
      </c>
      <c r="E31" s="14">
        <v>1</v>
      </c>
      <c r="F31" s="14">
        <v>1</v>
      </c>
      <c r="G31" s="15">
        <f>I$31 / 1000 * D31 * F31</f>
        <v>3.4132500000000001</v>
      </c>
      <c r="H31" t="s">
        <v>58</v>
      </c>
      <c r="I31">
        <v>10.25</v>
      </c>
    </row>
    <row r="32" spans="1:9" x14ac:dyDescent="0.25">
      <c r="A32" s="6"/>
      <c r="B32" s="16" t="s">
        <v>20</v>
      </c>
      <c r="C32" s="14" t="s">
        <v>56</v>
      </c>
      <c r="D32" s="14">
        <v>19.14</v>
      </c>
      <c r="E32" s="14">
        <v>2</v>
      </c>
      <c r="F32" s="14">
        <v>2</v>
      </c>
      <c r="G32" s="15">
        <f t="shared" ref="G32:G37" si="0">I$31 / 1000 * D32 * F32</f>
        <v>0.39237000000000005</v>
      </c>
    </row>
    <row r="33" spans="1:7" x14ac:dyDescent="0.25">
      <c r="A33" s="6"/>
      <c r="B33" s="16" t="s">
        <v>23</v>
      </c>
      <c r="C33" s="14" t="s">
        <v>56</v>
      </c>
      <c r="D33" s="14">
        <v>98.47</v>
      </c>
      <c r="E33" s="14">
        <v>1</v>
      </c>
      <c r="F33" s="14">
        <v>1</v>
      </c>
      <c r="G33" s="15">
        <f t="shared" si="0"/>
        <v>1.0093175000000001</v>
      </c>
    </row>
    <row r="34" spans="1:7" x14ac:dyDescent="0.25">
      <c r="A34" s="6"/>
      <c r="B34" s="16" t="s">
        <v>29</v>
      </c>
      <c r="C34" s="14" t="s">
        <v>56</v>
      </c>
      <c r="D34" s="14">
        <v>28.25</v>
      </c>
      <c r="E34" s="14">
        <v>1</v>
      </c>
      <c r="F34" s="14">
        <v>1</v>
      </c>
      <c r="G34" s="15">
        <f t="shared" si="0"/>
        <v>0.2895625</v>
      </c>
    </row>
    <row r="35" spans="1:7" x14ac:dyDescent="0.25">
      <c r="A35" s="6"/>
      <c r="B35" s="33" t="s">
        <v>30</v>
      </c>
      <c r="C35" s="25" t="s">
        <v>59</v>
      </c>
      <c r="D35" s="25" t="s">
        <v>31</v>
      </c>
      <c r="E35" s="25">
        <v>1</v>
      </c>
      <c r="F35" s="25">
        <v>2</v>
      </c>
      <c r="G35" s="34"/>
    </row>
    <row r="36" spans="1:7" x14ac:dyDescent="0.25">
      <c r="A36" s="6"/>
      <c r="B36" s="16" t="s">
        <v>38</v>
      </c>
      <c r="C36" s="14" t="s">
        <v>56</v>
      </c>
      <c r="D36" s="14">
        <v>172.4</v>
      </c>
      <c r="E36" s="14">
        <v>2</v>
      </c>
      <c r="F36" s="14">
        <v>2</v>
      </c>
      <c r="G36" s="15">
        <f t="shared" si="0"/>
        <v>3.5342000000000002</v>
      </c>
    </row>
    <row r="37" spans="1:7" x14ac:dyDescent="0.25">
      <c r="A37" s="6"/>
      <c r="B37" s="27" t="s">
        <v>43</v>
      </c>
      <c r="C37" s="14" t="s">
        <v>56</v>
      </c>
      <c r="D37" s="14">
        <v>58.36</v>
      </c>
      <c r="E37" s="14">
        <v>2</v>
      </c>
      <c r="F37" s="14">
        <v>2</v>
      </c>
      <c r="G37" s="28">
        <f t="shared" si="0"/>
        <v>1.19638</v>
      </c>
    </row>
    <row r="38" spans="1:7" ht="15.75" thickBot="1" x14ac:dyDescent="0.3">
      <c r="B38" s="35" t="s">
        <v>57</v>
      </c>
      <c r="C38" s="36"/>
      <c r="D38" s="36"/>
      <c r="E38" s="36"/>
      <c r="F38" s="36"/>
      <c r="G38" s="32">
        <f>SUM(G31:G37)</f>
        <v>9.8350799999999996</v>
      </c>
    </row>
    <row r="39" spans="1:7" ht="15.75" thickBot="1" x14ac:dyDescent="0.3"/>
    <row r="40" spans="1:7" x14ac:dyDescent="0.25">
      <c r="B40" s="37" t="s">
        <v>60</v>
      </c>
      <c r="C40" s="38"/>
      <c r="D40" s="38"/>
      <c r="E40" s="38"/>
      <c r="F40" s="38"/>
      <c r="G40" s="39">
        <f>G28 + G38</f>
        <v>373.22508000000005</v>
      </c>
    </row>
    <row r="41" spans="1:7" ht="15.75" thickBot="1" x14ac:dyDescent="0.3">
      <c r="B41" s="35"/>
      <c r="C41" s="36"/>
      <c r="D41" s="36"/>
      <c r="E41" s="36"/>
      <c r="F41" s="36"/>
      <c r="G41" s="40"/>
    </row>
  </sheetData>
  <mergeCells count="7">
    <mergeCell ref="B40:F41"/>
    <mergeCell ref="G40:G41"/>
    <mergeCell ref="B1:G1"/>
    <mergeCell ref="A3:A27"/>
    <mergeCell ref="A30:A37"/>
    <mergeCell ref="B28:F28"/>
    <mergeCell ref="B38:F38"/>
  </mergeCells>
  <hyperlinks>
    <hyperlink ref="C4" r:id="rId1" xr:uid="{48884AE4-1669-4ABD-BF14-01D027090643}"/>
    <hyperlink ref="C10" r:id="rId2" xr:uid="{9944BDD4-5578-4AB4-8E92-90DE11905199}"/>
    <hyperlink ref="C11" r:id="rId3" xr:uid="{83EB5EC7-33EE-4205-8BD7-FBE9A0D25ABC}"/>
    <hyperlink ref="C14" r:id="rId4" xr:uid="{C6E75278-0D74-4811-AD42-6BE1011BB146}"/>
    <hyperlink ref="C15" r:id="rId5" xr:uid="{4304D289-6EEC-4DA3-9614-426EB596BC78}"/>
    <hyperlink ref="C16" r:id="rId6" xr:uid="{00CB66CA-9102-41D8-A24A-5155ACC7EEBB}"/>
    <hyperlink ref="C17" r:id="rId7" xr:uid="{BBF1F273-268D-4057-920B-B21C9174FD9D}"/>
    <hyperlink ref="C18" r:id="rId8" xr:uid="{814EFEAB-E40A-4765-B7E0-454C732F4C77}"/>
    <hyperlink ref="C19" r:id="rId9" xr:uid="{55042FE4-BDFE-4B8D-A43D-2CA6DC73D256}"/>
    <hyperlink ref="C21" r:id="rId10" xr:uid="{BB2390EE-BA53-45AE-BF35-EE8D562B8EAB}"/>
    <hyperlink ref="C22" r:id="rId11" xr:uid="{A8B23118-94FD-4141-989F-FB46ADEC1454}"/>
    <hyperlink ref="C23" r:id="rId12" xr:uid="{BA728EAE-0CC3-4093-8C67-398A2077C461}"/>
    <hyperlink ref="C24" r:id="rId13" xr:uid="{8FAAC90B-A0FA-46F8-9563-7C6BA9693372}"/>
    <hyperlink ref="C25" r:id="rId14" xr:uid="{770C89DA-ADC2-4E11-A36C-BCD0177E3DD9}"/>
    <hyperlink ref="C27" r:id="rId15" xr:uid="{2BEBCBD4-B3BD-405D-A757-EE25E0D0D761}"/>
    <hyperlink ref="C6" r:id="rId16" xr:uid="{9CB2A1C9-ADAD-42F4-916F-9D1C5A1E9B95}"/>
    <hyperlink ref="C7" r:id="rId17" xr:uid="{A9FB42A2-42DC-46DA-8A8A-4FE9D78BCB6B}"/>
    <hyperlink ref="C3" r:id="rId18" xr:uid="{C7830AD8-9D26-403A-91F4-8EE9396C5CA4}"/>
    <hyperlink ref="C8" r:id="rId19" xr:uid="{B70C618E-4255-424F-8B1C-206D0146C276}"/>
    <hyperlink ref="C12" r:id="rId20" xr:uid="{60581BFB-2B5E-4065-80FD-36B32C6010F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18B9-BC2D-452B-A586-31298C2D30C6}">
  <dimension ref="A1:Q27"/>
  <sheetViews>
    <sheetView workbookViewId="0">
      <selection activeCell="A17" sqref="A17:XFD17"/>
    </sheetView>
  </sheetViews>
  <sheetFormatPr defaultRowHeight="15" x14ac:dyDescent="0.25"/>
  <cols>
    <col min="2" max="2" width="29.28515625" bestFit="1" customWidth="1"/>
    <col min="3" max="3" width="10.7109375" bestFit="1" customWidth="1"/>
    <col min="4" max="4" width="22" bestFit="1" customWidth="1"/>
    <col min="5" max="5" width="18.140625" bestFit="1" customWidth="1"/>
    <col min="6" max="6" width="13.5703125" bestFit="1" customWidth="1"/>
    <col min="7" max="7" width="12.28515625" bestFit="1" customWidth="1"/>
    <col min="8" max="8" width="19.85546875" bestFit="1" customWidth="1"/>
    <col min="11" max="11" width="20" bestFit="1" customWidth="1"/>
    <col min="12" max="13" width="16.28515625" bestFit="1" customWidth="1"/>
    <col min="14" max="14" width="21.140625" bestFit="1" customWidth="1"/>
    <col min="15" max="15" width="16.5703125" bestFit="1" customWidth="1"/>
    <col min="17" max="17" width="19" bestFit="1" customWidth="1"/>
  </cols>
  <sheetData>
    <row r="1" spans="1:17" ht="15.75" thickBot="1" x14ac:dyDescent="0.3">
      <c r="B1" s="9" t="s">
        <v>73</v>
      </c>
      <c r="C1" s="9"/>
      <c r="D1" s="9"/>
      <c r="E1" s="9"/>
      <c r="F1" s="9"/>
      <c r="G1" s="9"/>
      <c r="H1" s="9"/>
      <c r="J1" s="9" t="s">
        <v>74</v>
      </c>
      <c r="K1" s="9"/>
      <c r="L1" s="9"/>
      <c r="M1" s="9"/>
      <c r="N1" s="9"/>
    </row>
    <row r="2" spans="1:17" ht="15.75" thickBot="1" x14ac:dyDescent="0.3">
      <c r="B2" s="10" t="s">
        <v>0</v>
      </c>
      <c r="C2" s="11" t="s">
        <v>1</v>
      </c>
      <c r="D2" s="11" t="s">
        <v>4</v>
      </c>
      <c r="E2" s="11" t="s">
        <v>93</v>
      </c>
      <c r="F2" s="11" t="s">
        <v>9</v>
      </c>
      <c r="G2" s="11" t="s">
        <v>8</v>
      </c>
      <c r="H2" s="12" t="s">
        <v>10</v>
      </c>
      <c r="J2" s="10" t="s">
        <v>75</v>
      </c>
      <c r="K2" s="11" t="s">
        <v>79</v>
      </c>
      <c r="L2" s="11" t="s">
        <v>77</v>
      </c>
      <c r="M2" s="60" t="s">
        <v>76</v>
      </c>
      <c r="N2" s="62" t="s">
        <v>82</v>
      </c>
      <c r="O2" s="61" t="s">
        <v>110</v>
      </c>
    </row>
    <row r="3" spans="1:17" ht="15.75" thickBot="1" x14ac:dyDescent="0.3">
      <c r="A3" s="8" t="s">
        <v>62</v>
      </c>
      <c r="B3" s="13" t="s">
        <v>52</v>
      </c>
      <c r="C3" s="1" t="s">
        <v>53</v>
      </c>
      <c r="D3" s="14">
        <v>65.72</v>
      </c>
      <c r="E3" s="46"/>
      <c r="F3" s="14">
        <v>2</v>
      </c>
      <c r="G3" s="14">
        <v>2</v>
      </c>
      <c r="H3" s="15">
        <f>G3*D3</f>
        <v>131.44</v>
      </c>
      <c r="J3" s="16">
        <v>336</v>
      </c>
      <c r="K3" s="41">
        <v>900</v>
      </c>
      <c r="L3" s="14">
        <v>90</v>
      </c>
      <c r="M3" s="14">
        <v>22</v>
      </c>
      <c r="N3" s="58">
        <f>1 / (L3 * 2 * PI() / 60) * M3</f>
        <v>2.3342724986811318</v>
      </c>
      <c r="O3" s="15">
        <f>N3 / (J3 / 1000)</f>
        <v>6.9472395794081301</v>
      </c>
      <c r="Q3" s="42" t="s">
        <v>80</v>
      </c>
    </row>
    <row r="4" spans="1:17" x14ac:dyDescent="0.25">
      <c r="B4" s="16" t="s">
        <v>63</v>
      </c>
      <c r="C4" s="1" t="s">
        <v>64</v>
      </c>
      <c r="D4" s="14">
        <v>74.430000000000007</v>
      </c>
      <c r="E4" s="46"/>
      <c r="F4" s="14">
        <v>2</v>
      </c>
      <c r="G4" s="14">
        <v>2</v>
      </c>
      <c r="H4" s="15">
        <f>G4*D4</f>
        <v>148.86000000000001</v>
      </c>
      <c r="I4" s="14"/>
      <c r="J4" s="16">
        <v>157</v>
      </c>
      <c r="K4" s="14">
        <v>1075</v>
      </c>
      <c r="L4" s="14">
        <v>160</v>
      </c>
      <c r="M4" s="14">
        <v>22.43</v>
      </c>
      <c r="N4" s="58">
        <f>1 / (L4 * 2 * PI() / 60) * M4</f>
        <v>1.3386920150817048</v>
      </c>
      <c r="O4" s="15">
        <f t="shared" ref="O4:O27" si="0">N4 / (J4 / 1000)</f>
        <v>8.5267007330044891</v>
      </c>
    </row>
    <row r="5" spans="1:17" x14ac:dyDescent="0.25">
      <c r="B5" s="16" t="s">
        <v>85</v>
      </c>
      <c r="C5" s="1" t="s">
        <v>64</v>
      </c>
      <c r="D5" s="14">
        <v>202.62</v>
      </c>
      <c r="E5" s="46"/>
      <c r="F5" s="14">
        <v>2</v>
      </c>
      <c r="G5" s="14">
        <v>2</v>
      </c>
      <c r="H5" s="15">
        <f>G5*D5</f>
        <v>405.24</v>
      </c>
      <c r="I5" s="14"/>
      <c r="J5" s="16">
        <v>280</v>
      </c>
      <c r="K5" s="14">
        <v>1490</v>
      </c>
      <c r="L5" s="14">
        <v>100</v>
      </c>
      <c r="M5" s="14">
        <v>31.8</v>
      </c>
      <c r="N5" s="58">
        <f>1 / (L5 * 2 * PI() / 60) * M5</f>
        <v>3.0366763141933628</v>
      </c>
      <c r="O5" s="15">
        <f t="shared" si="0"/>
        <v>10.845272550690581</v>
      </c>
    </row>
    <row r="6" spans="1:17" x14ac:dyDescent="0.25">
      <c r="B6" s="43" t="s">
        <v>86</v>
      </c>
      <c r="C6" s="1" t="s">
        <v>87</v>
      </c>
      <c r="D6" s="14">
        <v>59.03</v>
      </c>
      <c r="E6" s="46"/>
      <c r="F6" s="14">
        <v>2</v>
      </c>
      <c r="G6" s="14">
        <v>2</v>
      </c>
      <c r="H6" s="15">
        <f>G6*D6</f>
        <v>118.06</v>
      </c>
      <c r="J6" s="16">
        <v>270</v>
      </c>
      <c r="K6" s="14" t="s">
        <v>90</v>
      </c>
      <c r="L6" s="14">
        <v>160</v>
      </c>
      <c r="M6" s="14">
        <v>38.6</v>
      </c>
      <c r="N6" s="58">
        <f>1 / (L6 * 2 * PI() / 60) * M6</f>
        <v>2.3037678012551854</v>
      </c>
      <c r="O6" s="15">
        <f t="shared" si="0"/>
        <v>8.532473337982168</v>
      </c>
      <c r="Q6" t="s">
        <v>88</v>
      </c>
    </row>
    <row r="7" spans="1:17" x14ac:dyDescent="0.25">
      <c r="B7" s="43" t="s">
        <v>89</v>
      </c>
      <c r="C7" s="1" t="s">
        <v>87</v>
      </c>
      <c r="D7" s="14">
        <v>88.97</v>
      </c>
      <c r="E7" s="46"/>
      <c r="F7" s="14">
        <v>2</v>
      </c>
      <c r="G7" s="14">
        <v>2</v>
      </c>
      <c r="H7" s="15">
        <f t="shared" ref="H7:H8" si="1">G7*D7</f>
        <v>177.94</v>
      </c>
      <c r="J7" s="16">
        <v>300.5</v>
      </c>
      <c r="K7" s="14" t="s">
        <v>91</v>
      </c>
      <c r="L7" s="14">
        <v>95</v>
      </c>
      <c r="M7" s="14">
        <v>43.3</v>
      </c>
      <c r="N7" s="58">
        <f t="shared" ref="N7:N8" si="2">1 / (L7 * 2 * PI() / 60) * M7</f>
        <v>4.3524688647657266</v>
      </c>
      <c r="O7" s="15">
        <f t="shared" si="0"/>
        <v>14.484089400218725</v>
      </c>
      <c r="Q7" t="s">
        <v>88</v>
      </c>
    </row>
    <row r="8" spans="1:17" ht="15.75" thickBot="1" x14ac:dyDescent="0.3">
      <c r="B8" s="44" t="s">
        <v>92</v>
      </c>
      <c r="C8" s="18" t="s">
        <v>87</v>
      </c>
      <c r="D8" s="19">
        <v>91.53</v>
      </c>
      <c r="E8" s="47"/>
      <c r="F8" s="19">
        <v>2</v>
      </c>
      <c r="G8" s="19">
        <v>2</v>
      </c>
      <c r="H8" s="20">
        <f t="shared" si="1"/>
        <v>183.06</v>
      </c>
      <c r="J8" s="17">
        <v>238.3</v>
      </c>
      <c r="K8" s="19" t="s">
        <v>90</v>
      </c>
      <c r="L8" s="19">
        <v>100</v>
      </c>
      <c r="M8" s="19">
        <v>33.799999999999997</v>
      </c>
      <c r="N8" s="59">
        <f t="shared" si="2"/>
        <v>3.227662245903637</v>
      </c>
      <c r="O8" s="20">
        <f t="shared" si="0"/>
        <v>13.544533134299778</v>
      </c>
      <c r="Q8" t="s">
        <v>88</v>
      </c>
    </row>
    <row r="9" spans="1:17" ht="15.75" thickBot="1" x14ac:dyDescent="0.3"/>
    <row r="10" spans="1:17" x14ac:dyDescent="0.25">
      <c r="B10" s="56" t="s">
        <v>101</v>
      </c>
      <c r="C10" s="50" t="s">
        <v>61</v>
      </c>
      <c r="D10" s="55">
        <v>84.99</v>
      </c>
      <c r="E10" s="52"/>
      <c r="F10" s="55">
        <v>2</v>
      </c>
      <c r="G10" s="55">
        <v>2</v>
      </c>
      <c r="H10" s="53">
        <f>G10*D10</f>
        <v>169.98</v>
      </c>
      <c r="I10" s="14"/>
      <c r="J10" s="49">
        <v>108</v>
      </c>
      <c r="K10" s="51">
        <v>500</v>
      </c>
      <c r="L10" s="51">
        <v>300</v>
      </c>
      <c r="M10" s="51">
        <v>20</v>
      </c>
      <c r="N10" s="57">
        <f>1 / (L10 * 2 * PI() / 60) * M10</f>
        <v>0.63661977236758138</v>
      </c>
      <c r="O10" s="53">
        <f t="shared" si="0"/>
        <v>5.8946275219220503</v>
      </c>
    </row>
    <row r="11" spans="1:17" x14ac:dyDescent="0.25">
      <c r="B11" s="16" t="s">
        <v>94</v>
      </c>
      <c r="C11" s="1" t="s">
        <v>61</v>
      </c>
      <c r="D11" s="14">
        <v>89.99</v>
      </c>
      <c r="E11" s="48"/>
      <c r="F11" s="14">
        <v>2</v>
      </c>
      <c r="G11" s="14">
        <v>2</v>
      </c>
      <c r="H11" s="15">
        <f>G11*D11</f>
        <v>179.98</v>
      </c>
      <c r="I11" s="14"/>
      <c r="J11" s="16">
        <v>128</v>
      </c>
      <c r="K11" s="41">
        <v>720</v>
      </c>
      <c r="L11" s="14">
        <v>170</v>
      </c>
      <c r="M11" s="14">
        <v>15</v>
      </c>
      <c r="N11" s="58">
        <f>1 / (L11 * 2 * PI() / 60) * M11</f>
        <v>0.84258499283944588</v>
      </c>
      <c r="O11" s="15">
        <f t="shared" si="0"/>
        <v>6.5826952565581704</v>
      </c>
    </row>
    <row r="12" spans="1:17" x14ac:dyDescent="0.25">
      <c r="B12" s="16" t="s">
        <v>95</v>
      </c>
      <c r="C12" s="1" t="s">
        <v>61</v>
      </c>
      <c r="D12" s="14">
        <v>89.99</v>
      </c>
      <c r="E12" s="48"/>
      <c r="F12" s="14">
        <v>2</v>
      </c>
      <c r="G12" s="14">
        <v>2</v>
      </c>
      <c r="H12" s="15">
        <f>G12*D12</f>
        <v>179.98</v>
      </c>
      <c r="I12" s="14"/>
      <c r="J12" s="16">
        <v>135</v>
      </c>
      <c r="K12" s="41">
        <v>760</v>
      </c>
      <c r="L12" s="14">
        <v>340</v>
      </c>
      <c r="M12" s="14">
        <v>35</v>
      </c>
      <c r="N12" s="58">
        <f t="shared" ref="N12" si="3">1 / (L12 * 2 * PI() / 60) * M12</f>
        <v>0.98301582497935347</v>
      </c>
      <c r="O12" s="15">
        <f t="shared" si="0"/>
        <v>7.2815987035507659</v>
      </c>
    </row>
    <row r="13" spans="1:17" x14ac:dyDescent="0.25">
      <c r="B13" s="43" t="s">
        <v>96</v>
      </c>
      <c r="C13" s="1" t="s">
        <v>61</v>
      </c>
      <c r="D13" s="41">
        <v>92.99</v>
      </c>
      <c r="E13" s="48"/>
      <c r="F13" s="41">
        <v>2</v>
      </c>
      <c r="G13" s="41">
        <v>2</v>
      </c>
      <c r="H13" s="15">
        <f>G13*D13</f>
        <v>185.98</v>
      </c>
      <c r="I13" s="14"/>
      <c r="J13" s="16">
        <v>172</v>
      </c>
      <c r="K13" s="14">
        <v>910</v>
      </c>
      <c r="L13" s="14">
        <v>320</v>
      </c>
      <c r="M13" s="14">
        <v>40</v>
      </c>
      <c r="N13" s="58">
        <f>1 / (L13 * 2 * PI() / 60) * M13</f>
        <v>1.1936620731892151</v>
      </c>
      <c r="O13" s="15">
        <f t="shared" si="0"/>
        <v>6.9398957743559029</v>
      </c>
      <c r="Q13" s="1"/>
    </row>
    <row r="14" spans="1:17" x14ac:dyDescent="0.25">
      <c r="B14" s="43" t="s">
        <v>99</v>
      </c>
      <c r="C14" s="1" t="s">
        <v>61</v>
      </c>
      <c r="D14" s="41">
        <v>99.9</v>
      </c>
      <c r="E14" s="48"/>
      <c r="F14" s="41">
        <v>2</v>
      </c>
      <c r="G14" s="41">
        <v>2</v>
      </c>
      <c r="H14" s="15">
        <f>G14*D14</f>
        <v>199.8</v>
      </c>
      <c r="I14" s="14"/>
      <c r="J14" s="16">
        <v>196</v>
      </c>
      <c r="K14" s="14">
        <v>850</v>
      </c>
      <c r="L14" s="14">
        <v>340</v>
      </c>
      <c r="M14" s="14">
        <v>35</v>
      </c>
      <c r="N14" s="58">
        <f>1 / (L14 * 2 * PI() / 60) * M14</f>
        <v>0.98301582497935347</v>
      </c>
      <c r="O14" s="15">
        <f t="shared" si="0"/>
        <v>5.0153868621395583</v>
      </c>
      <c r="Q14" s="1"/>
    </row>
    <row r="15" spans="1:17" x14ac:dyDescent="0.25">
      <c r="B15" s="43" t="s">
        <v>98</v>
      </c>
      <c r="C15" s="1" t="s">
        <v>61</v>
      </c>
      <c r="D15" s="41">
        <v>99.9</v>
      </c>
      <c r="E15" s="48"/>
      <c r="F15" s="41">
        <v>2</v>
      </c>
      <c r="G15" s="41">
        <v>2</v>
      </c>
      <c r="H15" s="15">
        <f>G15*D15</f>
        <v>199.8</v>
      </c>
      <c r="I15" s="14"/>
      <c r="J15" s="16">
        <v>170</v>
      </c>
      <c r="K15" s="14">
        <v>1200</v>
      </c>
      <c r="L15" s="14">
        <v>240</v>
      </c>
      <c r="M15" s="14">
        <v>25</v>
      </c>
      <c r="N15" s="58">
        <f>1 / (L15 * 2 * PI() / 60) * M15</f>
        <v>0.99471839432434606</v>
      </c>
      <c r="O15" s="15">
        <f t="shared" si="0"/>
        <v>5.8512846724961527</v>
      </c>
      <c r="Q15" s="1"/>
    </row>
    <row r="16" spans="1:17" x14ac:dyDescent="0.25">
      <c r="B16" s="43" t="s">
        <v>97</v>
      </c>
      <c r="C16" s="1" t="s">
        <v>61</v>
      </c>
      <c r="D16" s="41">
        <v>99.9</v>
      </c>
      <c r="E16" s="48"/>
      <c r="F16" s="41">
        <v>2</v>
      </c>
      <c r="G16" s="41">
        <v>2</v>
      </c>
      <c r="H16" s="15">
        <f>G16*D16</f>
        <v>199.8</v>
      </c>
      <c r="I16" s="14"/>
      <c r="J16" s="16">
        <v>170</v>
      </c>
      <c r="K16" s="14">
        <v>1000</v>
      </c>
      <c r="L16" s="14">
        <v>300</v>
      </c>
      <c r="M16" s="14">
        <v>40</v>
      </c>
      <c r="N16" s="58">
        <f>1 / (L16 * 2 * PI() / 60) * M16</f>
        <v>1.2732395447351628</v>
      </c>
      <c r="O16" s="15">
        <f t="shared" si="0"/>
        <v>7.4896443807950748</v>
      </c>
      <c r="Q16" s="1"/>
    </row>
    <row r="17" spans="2:17" x14ac:dyDescent="0.25">
      <c r="B17" s="43" t="s">
        <v>102</v>
      </c>
      <c r="C17" s="1" t="s">
        <v>61</v>
      </c>
      <c r="D17" s="41">
        <v>107.9</v>
      </c>
      <c r="E17" s="48"/>
      <c r="F17" s="41">
        <v>2</v>
      </c>
      <c r="G17" s="41">
        <v>2</v>
      </c>
      <c r="H17" s="15">
        <f>G17*D17</f>
        <v>215.8</v>
      </c>
      <c r="I17" s="14"/>
      <c r="J17" s="16">
        <v>375</v>
      </c>
      <c r="K17" s="14">
        <v>1800</v>
      </c>
      <c r="L17" s="14">
        <v>170</v>
      </c>
      <c r="M17" s="14">
        <v>38</v>
      </c>
      <c r="N17" s="58">
        <f>1 / (L17 * 2 * PI() / 60) * M17</f>
        <v>2.1345486485265961</v>
      </c>
      <c r="O17" s="15">
        <f t="shared" si="0"/>
        <v>5.6921297294042565</v>
      </c>
      <c r="Q17" s="1"/>
    </row>
    <row r="18" spans="2:17" ht="15.75" thickBot="1" x14ac:dyDescent="0.3">
      <c r="B18" s="43" t="s">
        <v>103</v>
      </c>
      <c r="C18" s="1" t="s">
        <v>61</v>
      </c>
      <c r="D18" s="41">
        <v>107.9</v>
      </c>
      <c r="E18" s="48"/>
      <c r="F18" s="41">
        <v>2</v>
      </c>
      <c r="G18" s="41">
        <v>2</v>
      </c>
      <c r="H18" s="15">
        <f>G18*D18</f>
        <v>215.8</v>
      </c>
      <c r="I18" s="14"/>
      <c r="J18" s="16">
        <v>375</v>
      </c>
      <c r="K18" s="14">
        <v>1550</v>
      </c>
      <c r="L18" s="14">
        <v>340</v>
      </c>
      <c r="M18" s="14">
        <v>65</v>
      </c>
      <c r="N18" s="58">
        <f>1 / (L18 * 2 * PI() / 60) * M18</f>
        <v>1.8256008178187992</v>
      </c>
      <c r="O18" s="15">
        <f t="shared" si="0"/>
        <v>4.8682688475167977</v>
      </c>
      <c r="Q18" s="1"/>
    </row>
    <row r="19" spans="2:17" ht="15.75" thickBot="1" x14ac:dyDescent="0.3">
      <c r="B19" s="43" t="s">
        <v>100</v>
      </c>
      <c r="C19" s="1" t="s">
        <v>61</v>
      </c>
      <c r="D19" s="41">
        <v>109.9</v>
      </c>
      <c r="E19" s="48"/>
      <c r="F19" s="41">
        <v>2</v>
      </c>
      <c r="G19" s="41">
        <v>2</v>
      </c>
      <c r="H19" s="15">
        <f>G19*D19</f>
        <v>219.8</v>
      </c>
      <c r="I19" s="14"/>
      <c r="J19" s="16">
        <v>205</v>
      </c>
      <c r="K19" s="14">
        <v>840</v>
      </c>
      <c r="L19" s="14">
        <v>340</v>
      </c>
      <c r="M19" s="14">
        <v>35</v>
      </c>
      <c r="N19" s="58">
        <f>1 / (L19 * 2 * PI() / 60) * M19</f>
        <v>0.98301582497935347</v>
      </c>
      <c r="O19" s="15">
        <f t="shared" si="0"/>
        <v>4.7951991462407486</v>
      </c>
      <c r="Q19" s="42" t="s">
        <v>81</v>
      </c>
    </row>
    <row r="20" spans="2:17" x14ac:dyDescent="0.25">
      <c r="B20" s="43" t="s">
        <v>109</v>
      </c>
      <c r="C20" s="1" t="s">
        <v>61</v>
      </c>
      <c r="D20" s="41">
        <v>119.99</v>
      </c>
      <c r="E20" s="48"/>
      <c r="F20" s="41">
        <v>2</v>
      </c>
      <c r="G20" s="41">
        <v>2</v>
      </c>
      <c r="H20" s="15">
        <f>G20*D20</f>
        <v>239.98</v>
      </c>
      <c r="I20" s="14"/>
      <c r="J20" s="16">
        <v>215</v>
      </c>
      <c r="K20" s="14">
        <v>2500</v>
      </c>
      <c r="L20" s="14">
        <v>260</v>
      </c>
      <c r="M20" s="14">
        <v>52</v>
      </c>
      <c r="N20" s="58">
        <f>1 / (L20 * 2 * PI() / 60) * M20</f>
        <v>1.909859317102744</v>
      </c>
      <c r="O20" s="15">
        <f t="shared" si="0"/>
        <v>8.8830665911755542</v>
      </c>
      <c r="Q20" s="1"/>
    </row>
    <row r="21" spans="2:17" x14ac:dyDescent="0.25">
      <c r="B21" s="43" t="s">
        <v>106</v>
      </c>
      <c r="C21" s="1" t="s">
        <v>61</v>
      </c>
      <c r="D21" s="41">
        <v>129</v>
      </c>
      <c r="E21" s="48"/>
      <c r="F21" s="41">
        <v>2</v>
      </c>
      <c r="G21" s="41">
        <v>2</v>
      </c>
      <c r="H21" s="15">
        <f>G21*D21</f>
        <v>258</v>
      </c>
      <c r="I21" s="14"/>
      <c r="J21" s="16">
        <v>280</v>
      </c>
      <c r="K21" s="14">
        <v>930</v>
      </c>
      <c r="L21" s="14">
        <v>275</v>
      </c>
      <c r="M21" s="14">
        <v>52</v>
      </c>
      <c r="N21" s="58">
        <f>1 / (L21 * 2 * PI() / 60) * M21</f>
        <v>1.8056851725335035</v>
      </c>
      <c r="O21" s="15">
        <f t="shared" si="0"/>
        <v>6.4488756161910832</v>
      </c>
    </row>
    <row r="22" spans="2:17" x14ac:dyDescent="0.25">
      <c r="B22" s="43" t="s">
        <v>107</v>
      </c>
      <c r="C22" s="1" t="s">
        <v>61</v>
      </c>
      <c r="D22" s="41">
        <v>129.99</v>
      </c>
      <c r="E22" s="48"/>
      <c r="F22" s="41">
        <v>2</v>
      </c>
      <c r="G22" s="41">
        <v>2</v>
      </c>
      <c r="H22" s="15">
        <f>G22*D22</f>
        <v>259.98</v>
      </c>
      <c r="I22" s="14"/>
      <c r="J22" s="16">
        <v>159</v>
      </c>
      <c r="K22" s="14">
        <v>1120</v>
      </c>
      <c r="L22" s="14">
        <v>160</v>
      </c>
      <c r="M22" s="14">
        <v>23.7</v>
      </c>
      <c r="N22" s="58">
        <f>1 / (L22 * 2 * PI() / 60) * M22</f>
        <v>1.4144895567292199</v>
      </c>
      <c r="O22" s="15">
        <f t="shared" si="0"/>
        <v>8.8961607341460365</v>
      </c>
      <c r="Q22" s="1"/>
    </row>
    <row r="23" spans="2:17" x14ac:dyDescent="0.25">
      <c r="B23" s="43" t="s">
        <v>108</v>
      </c>
      <c r="C23" s="1" t="s">
        <v>61</v>
      </c>
      <c r="D23" s="41">
        <v>129.99</v>
      </c>
      <c r="E23" s="48"/>
      <c r="F23" s="41">
        <v>2</v>
      </c>
      <c r="G23" s="41">
        <v>2</v>
      </c>
      <c r="H23" s="15">
        <f>G23*D23</f>
        <v>259.98</v>
      </c>
      <c r="I23" s="14"/>
      <c r="J23" s="16">
        <v>161</v>
      </c>
      <c r="K23" s="14">
        <v>1040</v>
      </c>
      <c r="L23" s="14">
        <v>320</v>
      </c>
      <c r="M23" s="14">
        <v>44.2</v>
      </c>
      <c r="N23" s="58">
        <f>1 / (L23 * 2 * PI() / 60) * M23</f>
        <v>1.3189965908740828</v>
      </c>
      <c r="O23" s="15">
        <f t="shared" si="0"/>
        <v>8.1925254091557935</v>
      </c>
      <c r="Q23" s="1"/>
    </row>
    <row r="24" spans="2:17" x14ac:dyDescent="0.25">
      <c r="B24" s="43" t="s">
        <v>105</v>
      </c>
      <c r="C24" s="1" t="s">
        <v>61</v>
      </c>
      <c r="D24" s="41">
        <v>139</v>
      </c>
      <c r="E24" s="48"/>
      <c r="F24" s="41">
        <v>2</v>
      </c>
      <c r="G24" s="41">
        <v>2</v>
      </c>
      <c r="H24" s="15">
        <f>G24*D24</f>
        <v>278</v>
      </c>
      <c r="I24" s="14"/>
      <c r="J24" s="16">
        <v>300</v>
      </c>
      <c r="K24" s="14">
        <v>2450</v>
      </c>
      <c r="L24" s="14">
        <v>180</v>
      </c>
      <c r="M24" s="14">
        <v>55</v>
      </c>
      <c r="N24" s="58">
        <f>1 / (L24 * 2 * PI() / 60) * M24</f>
        <v>2.9178406233514145</v>
      </c>
      <c r="O24" s="15">
        <f t="shared" si="0"/>
        <v>9.7261354111713825</v>
      </c>
      <c r="Q24" s="1"/>
    </row>
    <row r="25" spans="2:17" x14ac:dyDescent="0.25">
      <c r="B25" s="43" t="s">
        <v>104</v>
      </c>
      <c r="C25" s="1" t="s">
        <v>61</v>
      </c>
      <c r="D25" s="41">
        <v>139.9</v>
      </c>
      <c r="E25" s="48"/>
      <c r="F25" s="41">
        <v>2</v>
      </c>
      <c r="G25" s="41">
        <v>2</v>
      </c>
      <c r="H25" s="15">
        <f>G25*D25</f>
        <v>279.8</v>
      </c>
      <c r="I25" s="14"/>
      <c r="J25" s="16">
        <v>345</v>
      </c>
      <c r="K25" s="14">
        <v>2000</v>
      </c>
      <c r="L25" s="14">
        <v>180</v>
      </c>
      <c r="M25" s="14">
        <v>45</v>
      </c>
      <c r="N25" s="58">
        <f>1 / (L25 * 2 * PI() / 60) * M25</f>
        <v>2.3873241463784303</v>
      </c>
      <c r="O25" s="15">
        <f t="shared" si="0"/>
        <v>6.9197801344302334</v>
      </c>
      <c r="Q25" s="1"/>
    </row>
    <row r="26" spans="2:17" x14ac:dyDescent="0.25">
      <c r="B26" s="43" t="s">
        <v>84</v>
      </c>
      <c r="C26" s="1" t="s">
        <v>61</v>
      </c>
      <c r="D26" s="41">
        <v>309.99</v>
      </c>
      <c r="E26" s="48"/>
      <c r="F26" s="41">
        <v>2</v>
      </c>
      <c r="G26" s="41">
        <v>2</v>
      </c>
      <c r="H26" s="15">
        <f>G26*D26</f>
        <v>619.98</v>
      </c>
      <c r="I26" s="14"/>
      <c r="J26" s="16">
        <v>277</v>
      </c>
      <c r="K26" s="14">
        <v>916.8</v>
      </c>
      <c r="L26" s="14">
        <v>85</v>
      </c>
      <c r="M26" s="14">
        <v>19.100000000000001</v>
      </c>
      <c r="N26" s="58">
        <f>1 / (L26 * 2 * PI() / 60) * M26</f>
        <v>2.1457831150977889</v>
      </c>
      <c r="O26" s="15">
        <f t="shared" si="0"/>
        <v>7.7465094407862409</v>
      </c>
      <c r="Q26" s="1"/>
    </row>
    <row r="27" spans="2:17" ht="15.75" thickBot="1" x14ac:dyDescent="0.3">
      <c r="B27" s="44" t="s">
        <v>83</v>
      </c>
      <c r="C27" s="18" t="s">
        <v>61</v>
      </c>
      <c r="D27" s="45">
        <v>309.99</v>
      </c>
      <c r="E27" s="54"/>
      <c r="F27" s="45">
        <v>2</v>
      </c>
      <c r="G27" s="45">
        <v>2</v>
      </c>
      <c r="H27" s="20">
        <f>G27*D27</f>
        <v>619.98</v>
      </c>
      <c r="I27" s="14"/>
      <c r="J27" s="17">
        <v>272</v>
      </c>
      <c r="K27" s="19">
        <v>1406.4</v>
      </c>
      <c r="L27" s="19">
        <v>100</v>
      </c>
      <c r="M27" s="19">
        <v>29.3</v>
      </c>
      <c r="N27" s="59">
        <f>1 / (L27 * 2 * PI() / 60) * M27</f>
        <v>2.7979438995555199</v>
      </c>
      <c r="O27" s="20">
        <f t="shared" si="0"/>
        <v>10.286558454248235</v>
      </c>
      <c r="Q27" s="1"/>
    </row>
  </sheetData>
  <mergeCells count="2">
    <mergeCell ref="B1:H1"/>
    <mergeCell ref="J1:N1"/>
  </mergeCells>
  <phoneticPr fontId="4" type="noConversion"/>
  <conditionalFormatting sqref="H3:H8 H10:H2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8 N10:N2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O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3" r:id="rId1" xr:uid="{1C48BF4A-483F-4FFE-AB74-EF5B94000631}"/>
    <hyperlink ref="C11" r:id="rId2" xr:uid="{8F5C4D43-3239-4CD1-ACC0-9E7B0A443D87}"/>
    <hyperlink ref="C4" r:id="rId3" xr:uid="{1305BA24-8921-4BA1-A3F2-917B71F9DDC6}"/>
    <hyperlink ref="Q3" r:id="rId4" xr:uid="{88AD7160-CDC3-48B0-BDB2-9BF60733AE53}"/>
    <hyperlink ref="Q19" r:id="rId5" xr:uid="{ADAF8F30-AF19-4754-8E27-CD133CB92F83}"/>
    <hyperlink ref="C19" r:id="rId6" xr:uid="{39B9C1F6-E73C-4752-9A20-C68520F30458}"/>
    <hyperlink ref="C26" r:id="rId7" xr:uid="{8CC7CE6A-1492-4A13-8EE7-585CB0C7DF2F}"/>
    <hyperlink ref="C27" r:id="rId8" xr:uid="{30B240B4-F5B9-4944-A2A6-FAF32A2D1BC8}"/>
    <hyperlink ref="C5" r:id="rId9" xr:uid="{1113564B-9E5D-47A5-B0EE-F7D202D19F67}"/>
    <hyperlink ref="C6" r:id="rId10" xr:uid="{E601B089-71F4-44F9-866B-7DF6A1E7475C}"/>
    <hyperlink ref="C7" r:id="rId11" xr:uid="{A8A673D7-FFC6-4D88-8F8E-E8CF70AFA622}"/>
    <hyperlink ref="C8" r:id="rId12" xr:uid="{3DED6F70-A266-46E4-AA81-FF9531F6C3AE}"/>
    <hyperlink ref="C12" r:id="rId13" xr:uid="{4066AA6A-9E9D-4427-9194-44488569899D}"/>
    <hyperlink ref="C17" r:id="rId14" xr:uid="{93B9EE67-BE9E-4073-9F04-75A6CC1F01DA}"/>
    <hyperlink ref="C14" r:id="rId15" xr:uid="{D2D511C7-EF42-40B6-831F-43544D023583}"/>
    <hyperlink ref="C15" r:id="rId16" xr:uid="{3A9E0313-3F7F-4132-BC12-55D2521A18B7}"/>
    <hyperlink ref="C16" r:id="rId17" xr:uid="{9E918EEB-889B-4F89-90BD-25B27D7672A2}"/>
    <hyperlink ref="C13" r:id="rId18" xr:uid="{A9B06EC6-9D51-4848-93A1-1392E978ED38}"/>
    <hyperlink ref="C10" r:id="rId19" xr:uid="{7BF20D38-CF43-4565-9E0F-4C5706AE92D9}"/>
    <hyperlink ref="C18" r:id="rId20" xr:uid="{64A5352E-BEF6-4DBE-8016-36BB31171C6C}"/>
    <hyperlink ref="C25" r:id="rId21" xr:uid="{9FE0F4DB-C318-42E0-8F04-0B11D62A779B}"/>
    <hyperlink ref="C24" r:id="rId22" xr:uid="{23DEE869-D2AE-48BC-8137-FA1A3BAEF272}"/>
    <hyperlink ref="C21" r:id="rId23" xr:uid="{8C395167-5250-4A43-BA7C-F9C56DAADCB3}"/>
    <hyperlink ref="C22" r:id="rId24" xr:uid="{280EA8C6-EF2D-485E-9401-E2C31976AF8F}"/>
    <hyperlink ref="C23" r:id="rId25" xr:uid="{C5AC88D1-7279-482F-AD5A-0D65484B7EAB}"/>
    <hyperlink ref="C20" r:id="rId26" xr:uid="{235D2F26-BDCF-468C-B6C4-0105B89B3D2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Hopper BOM</vt:lpstr>
      <vt:lpstr>Alternate Motors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Perry</dc:creator>
  <cp:lastModifiedBy>John Perry</cp:lastModifiedBy>
  <dcterms:created xsi:type="dcterms:W3CDTF">2026-07-26T19:01:32Z</dcterms:created>
  <dcterms:modified xsi:type="dcterms:W3CDTF">2026-07-28T14:40:52Z</dcterms:modified>
</cp:coreProperties>
</file>