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per\Documents\Summer_UROP\hopping_robot\CAD\Parts\Capstan-Drive-Hopper\"/>
    </mc:Choice>
  </mc:AlternateContent>
  <xr:revisionPtr revIDLastSave="0" documentId="13_ncr:1_{69D21D31-39F4-4BA3-8858-ACF333312C1E}" xr6:coauthVersionLast="47" xr6:coauthVersionMax="47" xr10:uidLastSave="{00000000-0000-0000-0000-000000000000}"/>
  <bookViews>
    <workbookView xWindow="19095" yWindow="0" windowWidth="19410" windowHeight="21705" xr2:uid="{524B48DA-7D71-4E1E-A711-D21F403C7411}"/>
  </bookViews>
  <sheets>
    <sheet name="Hopper BOM" sheetId="2" r:id="rId1"/>
    <sheet name="3D Printing" sheetId="5" r:id="rId2"/>
    <sheet name="Alternate Moto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" i="2" l="1"/>
  <c r="G5" i="2"/>
  <c r="G6" i="2"/>
  <c r="G7" i="2"/>
  <c r="H12" i="5"/>
  <c r="H11" i="5"/>
  <c r="H9" i="5"/>
  <c r="H8" i="5"/>
  <c r="H7" i="5"/>
  <c r="H6" i="5"/>
  <c r="H13" i="5" s="1"/>
  <c r="G11" i="2"/>
  <c r="G23" i="2"/>
  <c r="G31" i="2"/>
  <c r="G30" i="2"/>
  <c r="G25" i="2"/>
  <c r="G24" i="2"/>
  <c r="G20" i="2"/>
  <c r="G28" i="2"/>
  <c r="G27" i="2"/>
  <c r="P11" i="3"/>
  <c r="P12" i="3"/>
  <c r="P14" i="3"/>
  <c r="H20" i="3"/>
  <c r="O20" i="3"/>
  <c r="P20" i="3" s="1"/>
  <c r="H23" i="3"/>
  <c r="O23" i="3"/>
  <c r="P23" i="3" s="1"/>
  <c r="H22" i="3"/>
  <c r="O22" i="3"/>
  <c r="P22" i="3" s="1"/>
  <c r="H21" i="3"/>
  <c r="O21" i="3"/>
  <c r="P21" i="3" s="1"/>
  <c r="H24" i="3"/>
  <c r="O24" i="3"/>
  <c r="P24" i="3" s="1"/>
  <c r="H25" i="3"/>
  <c r="O25" i="3"/>
  <c r="P25" i="3" s="1"/>
  <c r="H18" i="3"/>
  <c r="O18" i="3"/>
  <c r="P18" i="3" s="1"/>
  <c r="H10" i="3"/>
  <c r="O10" i="3"/>
  <c r="P10" i="3" s="1"/>
  <c r="H13" i="3"/>
  <c r="O13" i="3"/>
  <c r="P13" i="3" s="1"/>
  <c r="H16" i="3"/>
  <c r="O16" i="3"/>
  <c r="P16" i="3" s="1"/>
  <c r="H15" i="3"/>
  <c r="O15" i="3"/>
  <c r="P15" i="3" s="1"/>
  <c r="O14" i="3"/>
  <c r="H14" i="3"/>
  <c r="O17" i="3"/>
  <c r="P17" i="3" s="1"/>
  <c r="H17" i="3"/>
  <c r="O12" i="3"/>
  <c r="H12" i="3"/>
  <c r="H7" i="3"/>
  <c r="O7" i="3"/>
  <c r="P7" i="3" s="1"/>
  <c r="H8" i="3"/>
  <c r="O8" i="3"/>
  <c r="P8" i="3" s="1"/>
  <c r="H6" i="3"/>
  <c r="O6" i="3"/>
  <c r="P6" i="3" s="1"/>
  <c r="O5" i="3"/>
  <c r="P5" i="3" s="1"/>
  <c r="H5" i="3"/>
  <c r="H27" i="3"/>
  <c r="O27" i="3"/>
  <c r="P27" i="3" s="1"/>
  <c r="H26" i="3"/>
  <c r="O26" i="3"/>
  <c r="P26" i="3" s="1"/>
  <c r="O19" i="3"/>
  <c r="P19" i="3" s="1"/>
  <c r="H19" i="3"/>
  <c r="O11" i="3"/>
  <c r="O4" i="3"/>
  <c r="P4" i="3" s="1"/>
  <c r="O3" i="3"/>
  <c r="P3" i="3" s="1"/>
  <c r="H4" i="3"/>
  <c r="H11" i="3"/>
  <c r="H3" i="3"/>
  <c r="G4" i="2"/>
  <c r="G3" i="2"/>
  <c r="G34" i="2" l="1"/>
  <c r="H15" i="5" s="1"/>
  <c r="G33" i="2"/>
</calcChain>
</file>

<file path=xl/sharedStrings.xml><?xml version="1.0" encoding="utf-8"?>
<sst xmlns="http://schemas.openxmlformats.org/spreadsheetml/2006/main" count="183" uniqueCount="120">
  <si>
    <t>Part Name</t>
  </si>
  <si>
    <t>Source</t>
  </si>
  <si>
    <t>MJBots</t>
  </si>
  <si>
    <t>Price of Component / £</t>
  </si>
  <si>
    <t>M3 Heat-Fix Threaded Insert</t>
  </si>
  <si>
    <t>Accu</t>
  </si>
  <si>
    <t>0.08-0.88</t>
  </si>
  <si>
    <t>Qty. Desired</t>
  </si>
  <si>
    <t>Qty. Required</t>
  </si>
  <si>
    <t>Qty. Desired Cost / £</t>
  </si>
  <si>
    <t>M3 x 8mm Countersunk Screw</t>
  </si>
  <si>
    <t>0.02-0.78</t>
  </si>
  <si>
    <t>M6 x 30mm Cap Head Screw</t>
  </si>
  <si>
    <t>0.09-0.94</t>
  </si>
  <si>
    <t>M2 Heat-Fix Threaded Insert</t>
  </si>
  <si>
    <t>0.05-0.80</t>
  </si>
  <si>
    <t>Hopper_Base PLA</t>
  </si>
  <si>
    <t>Controller_Cover PLA</t>
  </si>
  <si>
    <t>M2 x 14mm Phillips Pan-Head Screw</t>
  </si>
  <si>
    <t>0.04-0.84</t>
  </si>
  <si>
    <t>Cover_Under PLA</t>
  </si>
  <si>
    <t>M4 x 100mm Cap Head Screw</t>
  </si>
  <si>
    <t>M4 Locking Nut</t>
  </si>
  <si>
    <t>Cover PLA</t>
  </si>
  <si>
    <t>Small_Pulley Resin (2 Parts)</t>
  </si>
  <si>
    <t>n/a</t>
  </si>
  <si>
    <t>0.02-0.79</t>
  </si>
  <si>
    <t>M3 x 16mm Cap Head Screw</t>
  </si>
  <si>
    <t>Big_Drum_Hip PLA</t>
  </si>
  <si>
    <t>40x50x6mm Thin Section Bearing</t>
  </si>
  <si>
    <t>M4 x 28mm Pan Head Screw</t>
  </si>
  <si>
    <t>0.09-0.98</t>
  </si>
  <si>
    <t>Calf_Body PLA</t>
  </si>
  <si>
    <t>M4 x 40mm Cap Head Screw</t>
  </si>
  <si>
    <t>0.08-0.90</t>
  </si>
  <si>
    <t>Capstan Drive Hopper BOM</t>
  </si>
  <si>
    <t>Generic Parts</t>
  </si>
  <si>
    <t>3D-Printed Parts</t>
  </si>
  <si>
    <t>Material</t>
  </si>
  <si>
    <t>Weight of Component / g</t>
  </si>
  <si>
    <t>Qty. Cost of Material</t>
  </si>
  <si>
    <t>Eaglepower 8308 KV90</t>
  </si>
  <si>
    <t>AliExpress</t>
  </si>
  <si>
    <t>Total Part Cost / £</t>
  </si>
  <si>
    <t>Source from normal filament location</t>
  </si>
  <si>
    <t>PLA</t>
  </si>
  <si>
    <t>Total 3DP Filament Cost / £</t>
  </si>
  <si>
    <t>Est. PLA Cost Per kg / £</t>
  </si>
  <si>
    <t>Resin</t>
  </si>
  <si>
    <t>Total Hopper Cost / £</t>
  </si>
  <si>
    <t>3DXR</t>
  </si>
  <si>
    <t>Current</t>
  </si>
  <si>
    <t>MAD Components M6C06</t>
  </si>
  <si>
    <t>MAD</t>
  </si>
  <si>
    <t>M2 8mm Stand-off</t>
  </si>
  <si>
    <t>0.51-1.56</t>
  </si>
  <si>
    <t>Money Criteria</t>
  </si>
  <si>
    <t>Physical Properties</t>
  </si>
  <si>
    <t>Mass / g</t>
  </si>
  <si>
    <t>Peak Current / A</t>
  </si>
  <si>
    <t>KV Value / RPM/V</t>
  </si>
  <si>
    <t>Peak cont. power / W</t>
  </si>
  <si>
    <t>Aaed Musa's Design</t>
  </si>
  <si>
    <t>Stanford Doggo</t>
  </si>
  <si>
    <t>Stall torque (est) / Nm</t>
  </si>
  <si>
    <t>T-Motor U8II KV100</t>
  </si>
  <si>
    <t>T-Motor U8II KV85</t>
  </si>
  <si>
    <t>MAD Components M8S C08</t>
  </si>
  <si>
    <t>Hobbywing M6215-HIGHTPROT</t>
  </si>
  <si>
    <t>Hobbywing</t>
  </si>
  <si>
    <t>French Warehouse, Conflicting Pmax information</t>
  </si>
  <si>
    <t>Hobbywing M8110 Light</t>
  </si>
  <si>
    <t>950?</t>
  </si>
  <si>
    <t>2000?</t>
  </si>
  <si>
    <t>Hobbywing M8108 Light</t>
  </si>
  <si>
    <t>Shipping, VAT inc.?</t>
  </si>
  <si>
    <t>T-Motor Antigravity 5008 170KV</t>
  </si>
  <si>
    <t>T-Motor Antigravity 5008 340KV</t>
  </si>
  <si>
    <t>T-Motor MN4112 320KV</t>
  </si>
  <si>
    <t>T-Motor MN501-S 300KV</t>
  </si>
  <si>
    <t>T-Motor MN501-S 240KV</t>
  </si>
  <si>
    <t>T-Motor MN5208 340KV</t>
  </si>
  <si>
    <t>T-Motor MN5212 340KV</t>
  </si>
  <si>
    <t>T-Motor Antigravity MN5006</t>
  </si>
  <si>
    <t>T-Motor P60 Pins 340KV</t>
  </si>
  <si>
    <t>T-Motor V602</t>
  </si>
  <si>
    <t>T-Motor VL6011 KV180</t>
  </si>
  <si>
    <t>T-Motor VL5009 KV275</t>
  </si>
  <si>
    <t>T-Motor Antigravity 6007II 160KV</t>
  </si>
  <si>
    <t>T-Motor Antigravity 6007II 320KV</t>
  </si>
  <si>
    <t>T-Motor V505</t>
  </si>
  <si>
    <t>ST per kg / Nm/kg</t>
  </si>
  <si>
    <t>Operating Voltage / V</t>
  </si>
  <si>
    <t>25-50</t>
  </si>
  <si>
    <t>25-30</t>
  </si>
  <si>
    <t>40-50</t>
  </si>
  <si>
    <t>T-Motor P60 Pins 170KV</t>
  </si>
  <si>
    <t>Moteus x1 Motor Controller</t>
  </si>
  <si>
    <t>Moonraker</t>
  </si>
  <si>
    <t>Mastrant M2 Premium (100M drum)</t>
  </si>
  <si>
    <t>1.46-2.88</t>
  </si>
  <si>
    <t>M4 x 55mm Cap Head Screw</t>
  </si>
  <si>
    <t>0.11-0.98</t>
  </si>
  <si>
    <t>1.58-3.63</t>
  </si>
  <si>
    <t>M3 x 40mm Cap Head Screw</t>
  </si>
  <si>
    <t>0.06-0.86</t>
  </si>
  <si>
    <t>M6 Locking Nut</t>
  </si>
  <si>
    <t>0.03-0.8</t>
  </si>
  <si>
    <t>M6 x 150mm Cap Head Screw</t>
  </si>
  <si>
    <t>0.63-2.06</t>
  </si>
  <si>
    <t>M4 x 16mm Cap Head Screw</t>
  </si>
  <si>
    <t>0.04-0.83</t>
  </si>
  <si>
    <t>Amazon</t>
  </si>
  <si>
    <t>Big-ticket items subtotal / £</t>
  </si>
  <si>
    <t>Other parts subtotal / £</t>
  </si>
  <si>
    <t>IGNORE FOR NOW</t>
  </si>
  <si>
    <t>15x24x5mm Thin Section Bearing</t>
  </si>
  <si>
    <t>mjcanfd-usb-1x USB--CAN Interface</t>
  </si>
  <si>
    <t>GENSACE 2200mAh 6S Battery</t>
  </si>
  <si>
    <t>Ultra Power Smart 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</si>
</sst>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3">
    <xf numFmtId="0" fontId="0" fillId="0" borderId="0" xfId="0"/>
    <xf numFmtId="0" fontId="1" fillId="0" borderId="0" xfId="1" applyBorder="1"/>
    <xf numFmtId="0" fontId="1" fillId="0" borderId="0" xfId="1" applyFill="1" applyBorder="1"/>
    <xf numFmtId="0" fontId="2" fillId="4" borderId="0" xfId="0" applyFont="1" applyFill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1" applyBorder="1"/>
    <xf numFmtId="0" fontId="0" fillId="0" borderId="10" xfId="0" applyBorder="1"/>
    <xf numFmtId="0" fontId="0" fillId="0" borderId="11" xfId="0" applyBorder="1"/>
    <xf numFmtId="0" fontId="0" fillId="4" borderId="0" xfId="0" applyFill="1"/>
    <xf numFmtId="0" fontId="0" fillId="0" borderId="14" xfId="0" applyBorder="1"/>
    <xf numFmtId="0" fontId="0" fillId="0" borderId="15" xfId="0" applyBorder="1"/>
    <xf numFmtId="0" fontId="2" fillId="0" borderId="19" xfId="0" applyFont="1" applyBorder="1"/>
    <xf numFmtId="0" fontId="0" fillId="4" borderId="8" xfId="0" applyFill="1" applyBorder="1"/>
    <xf numFmtId="0" fontId="0" fillId="4" borderId="7" xfId="0" applyFill="1" applyBorder="1"/>
    <xf numFmtId="0" fontId="1" fillId="0" borderId="2" xfId="1" applyBorder="1"/>
    <xf numFmtId="0" fontId="0" fillId="5" borderId="0" xfId="0" applyFill="1"/>
    <xf numFmtId="0" fontId="0" fillId="5" borderId="10" xfId="0" applyFill="1" applyBorder="1"/>
    <xf numFmtId="0" fontId="0" fillId="2" borderId="0" xfId="0" applyFill="1"/>
    <xf numFmtId="0" fontId="0" fillId="0" borderId="22" xfId="0" applyBorder="1"/>
    <xf numFmtId="0" fontId="1" fillId="0" borderId="23" xfId="1" applyBorder="1"/>
    <xf numFmtId="0" fontId="0" fillId="0" borderId="23" xfId="0" applyBorder="1"/>
    <xf numFmtId="0" fontId="0" fillId="2" borderId="23" xfId="0" applyFill="1" applyBorder="1"/>
    <xf numFmtId="0" fontId="0" fillId="0" borderId="24" xfId="0" applyBorder="1"/>
    <xf numFmtId="0" fontId="0" fillId="2" borderId="10" xfId="0" applyFill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2" fillId="3" borderId="28" xfId="0" applyFont="1" applyFill="1" applyBorder="1"/>
    <xf numFmtId="0" fontId="2" fillId="3" borderId="29" xfId="0" applyFont="1" applyFill="1" applyBorder="1"/>
    <xf numFmtId="0" fontId="2" fillId="3" borderId="30" xfId="0" applyFont="1" applyFill="1" applyBorder="1"/>
    <xf numFmtId="0" fontId="2" fillId="3" borderId="31" xfId="0" applyFont="1" applyFill="1" applyBorder="1"/>
    <xf numFmtId="0" fontId="0" fillId="3" borderId="8" xfId="0" applyFill="1" applyBorder="1"/>
    <xf numFmtId="0" fontId="0" fillId="0" borderId="13" xfId="0" applyBorder="1"/>
    <xf numFmtId="0" fontId="2" fillId="0" borderId="0" xfId="0" applyFont="1"/>
    <xf numFmtId="0" fontId="0" fillId="0" borderId="0" xfId="0" applyAlignment="1">
      <alignment textRotation="90"/>
    </xf>
    <xf numFmtId="0" fontId="1" fillId="0" borderId="1" xfId="1" applyFill="1" applyBorder="1"/>
    <xf numFmtId="0" fontId="0" fillId="0" borderId="1" xfId="0" applyBorder="1"/>
    <xf numFmtId="0" fontId="0" fillId="0" borderId="34" xfId="0" applyBorder="1"/>
    <xf numFmtId="0" fontId="5" fillId="0" borderId="0" xfId="0" applyFont="1"/>
    <xf numFmtId="0" fontId="0" fillId="0" borderId="12" xfId="0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3" fillId="0" borderId="0" xfId="0" applyFont="1" applyAlignment="1">
      <alignment horizontal="center" textRotation="90"/>
    </xf>
    <xf numFmtId="0" fontId="5" fillId="6" borderId="33" xfId="0" applyFont="1" applyFill="1" applyBorder="1" applyAlignment="1">
      <alignment horizontal="center"/>
    </xf>
    <xf numFmtId="0" fontId="0" fillId="6" borderId="32" xfId="0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0" fillId="0" borderId="0" xfId="0" applyAlignment="1">
      <alignment horizontal="center" textRotation="90"/>
    </xf>
    <xf numFmtId="0" fontId="0" fillId="0" borderId="0" xfId="0" applyAlignment="1">
      <alignment horizontal="center"/>
    </xf>
    <xf numFmtId="0" fontId="0" fillId="0" borderId="0" xfId="0" applyBorder="1"/>
    <xf numFmtId="0" fontId="2" fillId="0" borderId="0" xfId="0" applyFont="1" applyFill="1"/>
    <xf numFmtId="0" fontId="0" fillId="0" borderId="0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ccu.co.uk/hexagon-nylon-locking-nuts/7946-HNN-M4-A2" TargetMode="External"/><Relationship Id="rId13" Type="http://schemas.openxmlformats.org/officeDocument/2006/relationships/hyperlink" Target="https://www.amazon.co.uk/sourcing-map-6708-2RS-Groove-Bearings/dp/B085NCZBMC?source=ps-sl-shoppingads-lpcontext&amp;smid=AIF4G7PLKBOZY&amp;th=1" TargetMode="External"/><Relationship Id="rId18" Type="http://schemas.openxmlformats.org/officeDocument/2006/relationships/hyperlink" Target="https://www.accu.co.uk/metric-cap-head-screws/10645-SSC-M4-100-A2" TargetMode="External"/><Relationship Id="rId3" Type="http://schemas.openxmlformats.org/officeDocument/2006/relationships/hyperlink" Target="https://www.accu.co.uk/brass-threaded-inserts/985938-HTFBI-M2-BR" TargetMode="External"/><Relationship Id="rId21" Type="http://schemas.openxmlformats.org/officeDocument/2006/relationships/hyperlink" Target="https://www.accu.co.uk/metric-cap-head-screws/3841-SSCF-M4-16-A2" TargetMode="External"/><Relationship Id="rId7" Type="http://schemas.openxmlformats.org/officeDocument/2006/relationships/hyperlink" Target="https://www.accu.co.uk/metric-cap-head-screws/3822-SSCF-M3-16-A2" TargetMode="External"/><Relationship Id="rId12" Type="http://schemas.openxmlformats.org/officeDocument/2006/relationships/hyperlink" Target="https://www.accu.co.uk/thin-section-ball-bearings/986961-S61802" TargetMode="External"/><Relationship Id="rId17" Type="http://schemas.openxmlformats.org/officeDocument/2006/relationships/hyperlink" Target="https://www.accu.co.uk/metric-cap-head-screws/2836-SSC-M4-55-A2" TargetMode="External"/><Relationship Id="rId2" Type="http://schemas.openxmlformats.org/officeDocument/2006/relationships/hyperlink" Target="https://www.accu.co.uk/phillips-pan-head-screws/65368-SIP-M2-14-A2" TargetMode="External"/><Relationship Id="rId16" Type="http://schemas.openxmlformats.org/officeDocument/2006/relationships/hyperlink" Target="https://www.accu.co.uk/threaded-standoffs/464634-HHTPS-M2-4-8-BR-NI" TargetMode="External"/><Relationship Id="rId20" Type="http://schemas.openxmlformats.org/officeDocument/2006/relationships/hyperlink" Target="https://www.accu.co.uk/metric-cap-head-screws/2890-SSC-M6-150-A2" TargetMode="External"/><Relationship Id="rId1" Type="http://schemas.openxmlformats.org/officeDocument/2006/relationships/hyperlink" Target="https://mjbots.com/products/moteus-x1" TargetMode="External"/><Relationship Id="rId6" Type="http://schemas.openxmlformats.org/officeDocument/2006/relationships/hyperlink" Target="https://www.accu.co.uk/metric-cap-head-screws/2807-SSC-M3-40-A2" TargetMode="External"/><Relationship Id="rId11" Type="http://schemas.openxmlformats.org/officeDocument/2006/relationships/hyperlink" Target="https://www.accu.co.uk/metric-cap-head-screws/2872-SSC-M6-30-A2" TargetMode="External"/><Relationship Id="rId24" Type="http://schemas.openxmlformats.org/officeDocument/2006/relationships/hyperlink" Target="https://www.3dxr.co.uk/products/ultra-power-up10-dual-port-multi-chemistry-smart-charger" TargetMode="External"/><Relationship Id="rId5" Type="http://schemas.openxmlformats.org/officeDocument/2006/relationships/hyperlink" Target="https://www.accu.co.uk/countersunk-socket-head-screws/5423-SSK-M3-8-A2" TargetMode="External"/><Relationship Id="rId15" Type="http://schemas.openxmlformats.org/officeDocument/2006/relationships/hyperlink" Target="https://moonrakeronline.com/mastrant-m-guy-rope" TargetMode="External"/><Relationship Id="rId23" Type="http://schemas.openxmlformats.org/officeDocument/2006/relationships/hyperlink" Target="https://www.3dxr.co.uk/products/gensace-gens-ace-tattu-30c-22000mah-6s1p-22-2v-lipo-with-as150-xt150?_pos=1&amp;_fid=1a2a16c7d&amp;_ss=c" TargetMode="External"/><Relationship Id="rId10" Type="http://schemas.openxmlformats.org/officeDocument/2006/relationships/hyperlink" Target="https://www.accu.co.uk/metric-cap-head-screws/2833-SSC-M4-40-A2" TargetMode="External"/><Relationship Id="rId19" Type="http://schemas.openxmlformats.org/officeDocument/2006/relationships/hyperlink" Target="https://www.accu.co.uk/hexagon-nylon-locking-nuts/7948-HNN-M6-A2" TargetMode="External"/><Relationship Id="rId4" Type="http://schemas.openxmlformats.org/officeDocument/2006/relationships/hyperlink" Target="https://www.accu.co.uk/brass-threaded-inserts/849039-HTBTEI-M3-BR" TargetMode="External"/><Relationship Id="rId9" Type="http://schemas.openxmlformats.org/officeDocument/2006/relationships/hyperlink" Target="https://www.accu.co.uk/torx-pan-head-screws/475422-SHP-M4-28-V2-A2" TargetMode="External"/><Relationship Id="rId14" Type="http://schemas.openxmlformats.org/officeDocument/2006/relationships/hyperlink" Target="https://www.3dxr.co.uk/products/t-motor-t-motor-p60-pins?_pos=2&amp;_sid=a328b846b&amp;_ss=r" TargetMode="External"/><Relationship Id="rId22" Type="http://schemas.openxmlformats.org/officeDocument/2006/relationships/hyperlink" Target="https://mjbots.com/products/mjcanfd-usb-1x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mad-motor.com/products/m8s-c08-ipe-brushless-drone-motor" TargetMode="External"/><Relationship Id="rId13" Type="http://schemas.openxmlformats.org/officeDocument/2006/relationships/hyperlink" Target="https://www.3dxr.co.uk/products/t-motor-t-motor-p60-pins?_pos=2&amp;_sid=a328b846b&amp;_ss=r" TargetMode="External"/><Relationship Id="rId18" Type="http://schemas.openxmlformats.org/officeDocument/2006/relationships/hyperlink" Target="https://www.3dxr.co.uk/products/t-motor-antigravity-5006" TargetMode="External"/><Relationship Id="rId26" Type="http://schemas.openxmlformats.org/officeDocument/2006/relationships/hyperlink" Target="https://www.aliexpress.com/item/1005003421356221.html" TargetMode="External"/><Relationship Id="rId3" Type="http://schemas.openxmlformats.org/officeDocument/2006/relationships/hyperlink" Target="https://www.aaedmusa.com/projects/capstandrive" TargetMode="External"/><Relationship Id="rId21" Type="http://schemas.openxmlformats.org/officeDocument/2006/relationships/hyperlink" Target="https://www.3dxr.co.uk/products/t-motor-vl6011-kv180" TargetMode="External"/><Relationship Id="rId7" Type="http://schemas.openxmlformats.org/officeDocument/2006/relationships/hyperlink" Target="https://www.3dxr.co.uk/products/t-motor-u8ii?variant=63500341182813" TargetMode="External"/><Relationship Id="rId12" Type="http://schemas.openxmlformats.org/officeDocument/2006/relationships/hyperlink" Target="https://www.3dxr.co.uk/products/t-motor-antigravity-5008" TargetMode="External"/><Relationship Id="rId17" Type="http://schemas.openxmlformats.org/officeDocument/2006/relationships/hyperlink" Target="https://www.3dxr.co.uk/products/t-motor-mn4112" TargetMode="External"/><Relationship Id="rId25" Type="http://schemas.openxmlformats.org/officeDocument/2006/relationships/hyperlink" Target="https://www.3dxr.co.uk/products/t-motor-v505" TargetMode="External"/><Relationship Id="rId2" Type="http://schemas.openxmlformats.org/officeDocument/2006/relationships/hyperlink" Target="https://mad-motor.com/products/m6c06-eee-v3-brushless-drone-motor?VariantsId=11290" TargetMode="External"/><Relationship Id="rId16" Type="http://schemas.openxmlformats.org/officeDocument/2006/relationships/hyperlink" Target="https://www.3dxr.co.uk/products/t-motor-mn501-s" TargetMode="External"/><Relationship Id="rId20" Type="http://schemas.openxmlformats.org/officeDocument/2006/relationships/hyperlink" Target="https://www.3dxr.co.uk/products/t-motor-v602" TargetMode="External"/><Relationship Id="rId1" Type="http://schemas.openxmlformats.org/officeDocument/2006/relationships/hyperlink" Target="https://www.3dxr.co.uk/products/t-motor-antigravity-5008" TargetMode="External"/><Relationship Id="rId6" Type="http://schemas.openxmlformats.org/officeDocument/2006/relationships/hyperlink" Target="https://www.3dxr.co.uk/products/t-motor-u8ii?variant=63500341182813" TargetMode="External"/><Relationship Id="rId11" Type="http://schemas.openxmlformats.org/officeDocument/2006/relationships/hyperlink" Target="https://hobbywinguav.com/product/m8108-light/" TargetMode="External"/><Relationship Id="rId24" Type="http://schemas.openxmlformats.org/officeDocument/2006/relationships/hyperlink" Target="https://www.3dxr.co.uk/products/t-motor-antigravity-6007ii" TargetMode="External"/><Relationship Id="rId5" Type="http://schemas.openxmlformats.org/officeDocument/2006/relationships/hyperlink" Target="https://www.3dxr.co.uk/products/t-motor-multirotor-fixed-wing-mn5212-motor?_pos=2&amp;_fid=cc783bb3e&amp;_ss=c" TargetMode="External"/><Relationship Id="rId15" Type="http://schemas.openxmlformats.org/officeDocument/2006/relationships/hyperlink" Target="https://www.3dxr.co.uk/products/t-motor-mn501-s" TargetMode="External"/><Relationship Id="rId23" Type="http://schemas.openxmlformats.org/officeDocument/2006/relationships/hyperlink" Target="https://www.3dxr.co.uk/products/t-motor-antigravity-6007ii" TargetMode="External"/><Relationship Id="rId10" Type="http://schemas.openxmlformats.org/officeDocument/2006/relationships/hyperlink" Target="https://hobbywinguav.com/product/m8110-light/" TargetMode="External"/><Relationship Id="rId19" Type="http://schemas.openxmlformats.org/officeDocument/2006/relationships/hyperlink" Target="https://www.3dxr.co.uk/products/t-motor-t-motor-p60-pins" TargetMode="External"/><Relationship Id="rId4" Type="http://schemas.openxmlformats.org/officeDocument/2006/relationships/hyperlink" Target="https://github.com/Nate711/StanfordDoggoProject" TargetMode="External"/><Relationship Id="rId9" Type="http://schemas.openxmlformats.org/officeDocument/2006/relationships/hyperlink" Target="https://hobbywinguav.com/product/m6215-hightprot/" TargetMode="External"/><Relationship Id="rId14" Type="http://schemas.openxmlformats.org/officeDocument/2006/relationships/hyperlink" Target="https://www.3dxr.co.uk/products/t-motor-mn5208-kv340" TargetMode="External"/><Relationship Id="rId22" Type="http://schemas.openxmlformats.org/officeDocument/2006/relationships/hyperlink" Target="https://www.3dxr.co.uk/products/t-motor-vl5009-kv2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155AF-2391-442A-B596-D0A4A918F669}">
  <dimension ref="A1:H36"/>
  <sheetViews>
    <sheetView tabSelected="1" workbookViewId="0">
      <selection activeCell="D38" sqref="D38"/>
    </sheetView>
  </sheetViews>
  <sheetFormatPr defaultRowHeight="15" x14ac:dyDescent="0.25"/>
  <cols>
    <col min="2" max="2" width="33.28515625" bestFit="1" customWidth="1"/>
    <col min="3" max="3" width="11.85546875" bestFit="1" customWidth="1"/>
    <col min="4" max="4" width="22" bestFit="1" customWidth="1"/>
    <col min="5" max="5" width="13.5703125" bestFit="1" customWidth="1"/>
    <col min="6" max="6" width="12.28515625" bestFit="1" customWidth="1"/>
    <col min="7" max="7" width="19.85546875" bestFit="1" customWidth="1"/>
    <col min="8" max="8" width="12.42578125" customWidth="1"/>
  </cols>
  <sheetData>
    <row r="1" spans="1:8" ht="15.75" thickBot="1" x14ac:dyDescent="0.3">
      <c r="B1" s="45" t="s">
        <v>35</v>
      </c>
      <c r="C1" s="45"/>
      <c r="D1" s="45"/>
      <c r="E1" s="45"/>
      <c r="F1" s="45"/>
      <c r="G1" s="45"/>
    </row>
    <row r="2" spans="1:8" x14ac:dyDescent="0.25">
      <c r="B2" s="4" t="s">
        <v>0</v>
      </c>
      <c r="C2" s="5" t="s">
        <v>1</v>
      </c>
      <c r="D2" s="5" t="s">
        <v>3</v>
      </c>
      <c r="E2" s="5" t="s">
        <v>8</v>
      </c>
      <c r="F2" s="5" t="s">
        <v>7</v>
      </c>
      <c r="G2" s="6" t="s">
        <v>9</v>
      </c>
    </row>
    <row r="3" spans="1:8" ht="14.45" customHeight="1" x14ac:dyDescent="0.25">
      <c r="A3" s="49" t="s">
        <v>36</v>
      </c>
      <c r="B3" s="7" t="s">
        <v>96</v>
      </c>
      <c r="C3" s="2" t="s">
        <v>50</v>
      </c>
      <c r="D3" s="60">
        <v>107.9</v>
      </c>
      <c r="E3" s="60">
        <v>2</v>
      </c>
      <c r="F3" s="60">
        <v>2</v>
      </c>
      <c r="G3" s="38">
        <f>F3*D3</f>
        <v>215.8</v>
      </c>
      <c r="H3" s="39"/>
    </row>
    <row r="4" spans="1:8" ht="14.45" customHeight="1" x14ac:dyDescent="0.25">
      <c r="A4" s="49"/>
      <c r="B4" s="9" t="s">
        <v>97</v>
      </c>
      <c r="C4" s="2" t="s">
        <v>2</v>
      </c>
      <c r="D4" s="60">
        <v>130.82</v>
      </c>
      <c r="E4" s="60">
        <v>2</v>
      </c>
      <c r="F4" s="60">
        <v>2</v>
      </c>
      <c r="G4" s="8">
        <f>F4*D4</f>
        <v>261.64</v>
      </c>
      <c r="H4" s="39"/>
    </row>
    <row r="5" spans="1:8" ht="14.45" customHeight="1" x14ac:dyDescent="0.25">
      <c r="A5" s="49"/>
      <c r="B5" s="9" t="s">
        <v>117</v>
      </c>
      <c r="C5" s="2" t="s">
        <v>2</v>
      </c>
      <c r="D5" s="60">
        <v>28.96</v>
      </c>
      <c r="E5" s="60">
        <v>1</v>
      </c>
      <c r="F5" s="60">
        <v>1</v>
      </c>
      <c r="G5" s="8">
        <f t="shared" ref="G5:G7" si="0">F5*D5</f>
        <v>28.96</v>
      </c>
      <c r="H5" s="39"/>
    </row>
    <row r="6" spans="1:8" ht="14.45" customHeight="1" x14ac:dyDescent="0.25">
      <c r="A6" s="49"/>
      <c r="B6" s="9" t="s">
        <v>118</v>
      </c>
      <c r="C6" s="2" t="s">
        <v>50</v>
      </c>
      <c r="D6" s="62">
        <v>52.99</v>
      </c>
      <c r="E6" s="62">
        <v>2</v>
      </c>
      <c r="F6" s="62">
        <v>2</v>
      </c>
      <c r="G6" s="8">
        <f t="shared" si="0"/>
        <v>105.98</v>
      </c>
      <c r="H6" s="39"/>
    </row>
    <row r="7" spans="1:8" x14ac:dyDescent="0.25">
      <c r="A7" s="49"/>
      <c r="B7" s="15" t="s">
        <v>119</v>
      </c>
      <c r="C7" s="1" t="s">
        <v>50</v>
      </c>
      <c r="D7" s="62">
        <v>112.99</v>
      </c>
      <c r="E7" s="62">
        <v>1</v>
      </c>
      <c r="F7" s="62">
        <v>1</v>
      </c>
      <c r="G7" s="8">
        <f t="shared" si="0"/>
        <v>112.99</v>
      </c>
      <c r="H7" s="44"/>
    </row>
    <row r="8" spans="1:8" x14ac:dyDescent="0.25">
      <c r="A8" s="49"/>
      <c r="B8" s="50" t="s">
        <v>113</v>
      </c>
      <c r="C8" s="51"/>
      <c r="D8" s="51"/>
      <c r="E8" s="51"/>
      <c r="F8" s="51"/>
      <c r="G8" s="43">
        <f>SUM(G3:G7)</f>
        <v>725.37</v>
      </c>
    </row>
    <row r="9" spans="1:8" x14ac:dyDescent="0.25">
      <c r="A9" s="49"/>
      <c r="B9" s="9"/>
      <c r="C9" s="60"/>
      <c r="D9" s="60"/>
      <c r="E9" s="60"/>
      <c r="F9" s="60"/>
      <c r="G9" s="8"/>
      <c r="H9" s="39"/>
    </row>
    <row r="10" spans="1:8" x14ac:dyDescent="0.25">
      <c r="A10" s="49"/>
      <c r="B10" s="9" t="s">
        <v>116</v>
      </c>
      <c r="C10" s="2" t="s">
        <v>5</v>
      </c>
      <c r="D10" s="60" t="s">
        <v>100</v>
      </c>
      <c r="E10" s="60">
        <v>3</v>
      </c>
      <c r="F10" s="60">
        <v>3</v>
      </c>
      <c r="G10" s="8">
        <v>7.02</v>
      </c>
    </row>
    <row r="11" spans="1:8" x14ac:dyDescent="0.25">
      <c r="A11" s="49"/>
      <c r="B11" s="9" t="s">
        <v>29</v>
      </c>
      <c r="C11" s="2" t="s">
        <v>112</v>
      </c>
      <c r="D11" s="60">
        <v>6.49</v>
      </c>
      <c r="E11" s="60">
        <v>4</v>
      </c>
      <c r="F11" s="60">
        <v>4</v>
      </c>
      <c r="G11" s="8">
        <f>F11*D11</f>
        <v>25.96</v>
      </c>
      <c r="H11" s="61"/>
    </row>
    <row r="12" spans="1:8" x14ac:dyDescent="0.25">
      <c r="A12" s="49"/>
      <c r="B12" s="9" t="s">
        <v>99</v>
      </c>
      <c r="C12" s="2" t="s">
        <v>98</v>
      </c>
      <c r="D12" s="60">
        <v>39.950000000000003</v>
      </c>
      <c r="E12" s="60">
        <v>1</v>
      </c>
      <c r="F12" s="60">
        <v>1</v>
      </c>
      <c r="G12" s="8">
        <v>39.950000000000003</v>
      </c>
    </row>
    <row r="13" spans="1:8" x14ac:dyDescent="0.25">
      <c r="A13" s="49"/>
      <c r="B13" s="9"/>
      <c r="C13" s="60"/>
      <c r="D13" s="60"/>
      <c r="E13" s="60"/>
      <c r="F13" s="60"/>
      <c r="G13" s="8"/>
    </row>
    <row r="14" spans="1:8" x14ac:dyDescent="0.25">
      <c r="A14" s="49"/>
      <c r="B14" s="9" t="s">
        <v>18</v>
      </c>
      <c r="C14" s="2" t="s">
        <v>5</v>
      </c>
      <c r="D14" s="60" t="s">
        <v>19</v>
      </c>
      <c r="E14" s="60">
        <v>8</v>
      </c>
      <c r="F14" s="60">
        <v>12</v>
      </c>
      <c r="G14" s="8">
        <v>2.04</v>
      </c>
    </row>
    <row r="15" spans="1:8" x14ac:dyDescent="0.25">
      <c r="A15" s="49"/>
      <c r="B15" s="9" t="s">
        <v>14</v>
      </c>
      <c r="C15" s="2" t="s">
        <v>5</v>
      </c>
      <c r="D15" s="60" t="s">
        <v>15</v>
      </c>
      <c r="E15" s="60">
        <v>8</v>
      </c>
      <c r="F15" s="60">
        <v>12</v>
      </c>
      <c r="G15" s="8">
        <v>1.68</v>
      </c>
    </row>
    <row r="16" spans="1:8" x14ac:dyDescent="0.25">
      <c r="A16" s="49"/>
      <c r="B16" s="9" t="s">
        <v>54</v>
      </c>
      <c r="C16" s="2" t="s">
        <v>5</v>
      </c>
      <c r="D16" s="60" t="s">
        <v>55</v>
      </c>
      <c r="E16" s="60">
        <v>8</v>
      </c>
      <c r="F16" s="60">
        <v>12</v>
      </c>
      <c r="G16" s="8">
        <v>9.24</v>
      </c>
    </row>
    <row r="17" spans="1:7" x14ac:dyDescent="0.25">
      <c r="A17" s="49"/>
      <c r="B17" s="9"/>
      <c r="C17" s="60"/>
      <c r="D17" s="60"/>
      <c r="E17" s="60"/>
      <c r="F17" s="60"/>
      <c r="G17" s="8"/>
    </row>
    <row r="18" spans="1:7" x14ac:dyDescent="0.25">
      <c r="A18" s="49"/>
      <c r="B18" s="9" t="s">
        <v>4</v>
      </c>
      <c r="C18" s="2" t="s">
        <v>5</v>
      </c>
      <c r="D18" s="60" t="s">
        <v>6</v>
      </c>
      <c r="E18" s="60">
        <v>8</v>
      </c>
      <c r="F18" s="60">
        <v>12</v>
      </c>
      <c r="G18" s="8">
        <v>2.4</v>
      </c>
    </row>
    <row r="19" spans="1:7" x14ac:dyDescent="0.25">
      <c r="A19" s="49"/>
      <c r="B19" s="9" t="s">
        <v>10</v>
      </c>
      <c r="C19" s="2" t="s">
        <v>5</v>
      </c>
      <c r="D19" s="60" t="s">
        <v>11</v>
      </c>
      <c r="E19" s="60">
        <v>8</v>
      </c>
      <c r="F19" s="60">
        <v>12</v>
      </c>
      <c r="G19" s="8">
        <v>1.44</v>
      </c>
    </row>
    <row r="20" spans="1:7" x14ac:dyDescent="0.25">
      <c r="A20" s="49"/>
      <c r="B20" s="9" t="s">
        <v>104</v>
      </c>
      <c r="C20" s="2" t="s">
        <v>5</v>
      </c>
      <c r="D20" s="60" t="s">
        <v>105</v>
      </c>
      <c r="E20" s="60">
        <v>2</v>
      </c>
      <c r="F20" s="60">
        <v>2</v>
      </c>
      <c r="G20" s="8">
        <f>F20*0.5</f>
        <v>1</v>
      </c>
    </row>
    <row r="21" spans="1:7" x14ac:dyDescent="0.25">
      <c r="A21" s="49"/>
      <c r="B21" s="9" t="s">
        <v>27</v>
      </c>
      <c r="C21" s="2" t="s">
        <v>5</v>
      </c>
      <c r="D21" s="60" t="s">
        <v>26</v>
      </c>
      <c r="E21" s="60">
        <v>8</v>
      </c>
      <c r="F21" s="60">
        <v>12</v>
      </c>
      <c r="G21" s="8">
        <v>1.56</v>
      </c>
    </row>
    <row r="22" spans="1:7" x14ac:dyDescent="0.25">
      <c r="A22" s="49"/>
      <c r="B22" s="9"/>
      <c r="C22" s="2"/>
      <c r="D22" s="60"/>
      <c r="E22" s="60"/>
      <c r="F22" s="60"/>
      <c r="G22" s="8"/>
    </row>
    <row r="23" spans="1:7" x14ac:dyDescent="0.25">
      <c r="A23" s="49"/>
      <c r="B23" s="9" t="s">
        <v>110</v>
      </c>
      <c r="C23" s="2" t="s">
        <v>5</v>
      </c>
      <c r="D23" s="60" t="s">
        <v>111</v>
      </c>
      <c r="E23" s="60">
        <v>8</v>
      </c>
      <c r="F23" s="60">
        <v>12</v>
      </c>
      <c r="G23" s="8">
        <f>F23*0.16</f>
        <v>1.92</v>
      </c>
    </row>
    <row r="24" spans="1:7" x14ac:dyDescent="0.25">
      <c r="A24" s="49"/>
      <c r="B24" s="9" t="s">
        <v>22</v>
      </c>
      <c r="C24" s="2" t="s">
        <v>5</v>
      </c>
      <c r="D24" s="60" t="s">
        <v>11</v>
      </c>
      <c r="E24" s="60">
        <v>11</v>
      </c>
      <c r="F24" s="60">
        <v>12</v>
      </c>
      <c r="G24" s="8">
        <f>F24*0.12</f>
        <v>1.44</v>
      </c>
    </row>
    <row r="25" spans="1:7" x14ac:dyDescent="0.25">
      <c r="A25" s="49"/>
      <c r="B25" s="9" t="s">
        <v>30</v>
      </c>
      <c r="C25" s="2" t="s">
        <v>5</v>
      </c>
      <c r="D25" s="60" t="s">
        <v>31</v>
      </c>
      <c r="E25" s="60">
        <v>8</v>
      </c>
      <c r="F25" s="60">
        <v>8</v>
      </c>
      <c r="G25" s="8">
        <f>F25*0.33</f>
        <v>2.64</v>
      </c>
    </row>
    <row r="26" spans="1:7" x14ac:dyDescent="0.25">
      <c r="A26" s="49"/>
      <c r="B26" s="9" t="s">
        <v>33</v>
      </c>
      <c r="C26" s="2" t="s">
        <v>5</v>
      </c>
      <c r="D26" s="60" t="s">
        <v>34</v>
      </c>
      <c r="E26" s="60">
        <v>3</v>
      </c>
      <c r="F26" s="60">
        <v>4</v>
      </c>
      <c r="G26" s="8">
        <v>1.48</v>
      </c>
    </row>
    <row r="27" spans="1:7" x14ac:dyDescent="0.25">
      <c r="A27" s="49"/>
      <c r="B27" s="9" t="s">
        <v>101</v>
      </c>
      <c r="C27" s="2" t="s">
        <v>5</v>
      </c>
      <c r="D27" s="60" t="s">
        <v>102</v>
      </c>
      <c r="E27" s="60">
        <v>1</v>
      </c>
      <c r="F27" s="60">
        <v>2</v>
      </c>
      <c r="G27" s="8">
        <f>0.61*2</f>
        <v>1.22</v>
      </c>
    </row>
    <row r="28" spans="1:7" x14ac:dyDescent="0.25">
      <c r="A28" s="49"/>
      <c r="B28" s="9" t="s">
        <v>21</v>
      </c>
      <c r="C28" s="2" t="s">
        <v>5</v>
      </c>
      <c r="D28" s="60" t="s">
        <v>103</v>
      </c>
      <c r="E28" s="60">
        <v>1</v>
      </c>
      <c r="F28" s="60">
        <v>2</v>
      </c>
      <c r="G28" s="8">
        <f>2*3.02</f>
        <v>6.04</v>
      </c>
    </row>
    <row r="29" spans="1:7" x14ac:dyDescent="0.25">
      <c r="A29" s="49"/>
      <c r="B29" s="9"/>
      <c r="C29" s="60"/>
      <c r="D29" s="60"/>
      <c r="E29" s="60"/>
      <c r="F29" s="60"/>
      <c r="G29" s="8"/>
    </row>
    <row r="30" spans="1:7" x14ac:dyDescent="0.25">
      <c r="A30" s="49"/>
      <c r="B30" s="9" t="s">
        <v>106</v>
      </c>
      <c r="C30" s="2" t="s">
        <v>5</v>
      </c>
      <c r="D30" s="60" t="s">
        <v>107</v>
      </c>
      <c r="E30" s="60">
        <v>4</v>
      </c>
      <c r="F30" s="60">
        <v>4</v>
      </c>
      <c r="G30" s="8">
        <f>F30*0.28</f>
        <v>1.1200000000000001</v>
      </c>
    </row>
    <row r="31" spans="1:7" x14ac:dyDescent="0.25">
      <c r="A31" s="49"/>
      <c r="B31" s="9" t="s">
        <v>108</v>
      </c>
      <c r="C31" s="2" t="s">
        <v>5</v>
      </c>
      <c r="D31" s="60" t="s">
        <v>109</v>
      </c>
      <c r="E31" s="60">
        <v>4</v>
      </c>
      <c r="F31" s="60">
        <v>4</v>
      </c>
      <c r="G31" s="8">
        <f>F31*1.38</f>
        <v>5.52</v>
      </c>
    </row>
    <row r="32" spans="1:7" x14ac:dyDescent="0.25">
      <c r="A32" s="49"/>
      <c r="B32" s="15" t="s">
        <v>12</v>
      </c>
      <c r="C32" s="41" t="s">
        <v>5</v>
      </c>
      <c r="D32" s="42" t="s">
        <v>13</v>
      </c>
      <c r="E32" s="42">
        <v>4</v>
      </c>
      <c r="F32" s="42">
        <v>4</v>
      </c>
      <c r="G32" s="16">
        <v>1.6</v>
      </c>
    </row>
    <row r="33" spans="1:7" x14ac:dyDescent="0.25">
      <c r="A33" s="49"/>
      <c r="B33" s="50" t="s">
        <v>114</v>
      </c>
      <c r="C33" s="51"/>
      <c r="D33" s="51"/>
      <c r="E33" s="51"/>
      <c r="F33" s="51"/>
      <c r="G33" s="8">
        <f>SUM(G10:G32)</f>
        <v>115.27000000000002</v>
      </c>
    </row>
    <row r="34" spans="1:7" ht="15.75" thickBot="1" x14ac:dyDescent="0.3">
      <c r="A34" s="49"/>
      <c r="B34" s="46" t="s">
        <v>43</v>
      </c>
      <c r="C34" s="47"/>
      <c r="D34" s="47"/>
      <c r="E34" s="47"/>
      <c r="F34" s="48"/>
      <c r="G34" s="17">
        <f>G8+G33</f>
        <v>840.64</v>
      </c>
    </row>
    <row r="35" spans="1:7" x14ac:dyDescent="0.25">
      <c r="A35" s="40"/>
    </row>
    <row r="36" spans="1:7" x14ac:dyDescent="0.25">
      <c r="A36" s="40"/>
    </row>
  </sheetData>
  <mergeCells count="5">
    <mergeCell ref="B1:G1"/>
    <mergeCell ref="B34:F34"/>
    <mergeCell ref="A3:A34"/>
    <mergeCell ref="B8:F8"/>
    <mergeCell ref="B33:F33"/>
  </mergeCells>
  <hyperlinks>
    <hyperlink ref="C4" r:id="rId1" xr:uid="{48884AE4-1669-4ABD-BF14-01D027090643}"/>
    <hyperlink ref="C14" r:id="rId2" xr:uid="{9944BDD4-5578-4AB4-8E92-90DE11905199}"/>
    <hyperlink ref="C15" r:id="rId3" xr:uid="{83EB5EC7-33EE-4205-8BD7-FBE9A0D25ABC}"/>
    <hyperlink ref="C18" r:id="rId4" xr:uid="{C6E75278-0D74-4811-AD42-6BE1011BB146}"/>
    <hyperlink ref="C19" r:id="rId5" xr:uid="{4304D289-6EEC-4DA3-9614-426EB596BC78}"/>
    <hyperlink ref="C20" r:id="rId6" xr:uid="{00CB66CA-9102-41D8-A24A-5155ACC7EEBB}"/>
    <hyperlink ref="C21" r:id="rId7" xr:uid="{55042FE4-BDFE-4B8D-A43D-2CA6DC73D256}"/>
    <hyperlink ref="C24" r:id="rId8" xr:uid="{BA728EAE-0CC3-4093-8C67-398A2077C461}"/>
    <hyperlink ref="C25" r:id="rId9" xr:uid="{8FAAC90B-A0FA-46F8-9563-7C6BA9693372}"/>
    <hyperlink ref="C26" r:id="rId10" xr:uid="{770C89DA-ADC2-4E11-A36C-BCD0177E3DD9}"/>
    <hyperlink ref="C32" r:id="rId11" xr:uid="{2BEBCBD4-B3BD-405D-A757-EE25E0D0D761}"/>
    <hyperlink ref="C10" r:id="rId12" xr:uid="{9CB2A1C9-ADAD-42F4-916F-9D1C5A1E9B95}"/>
    <hyperlink ref="C11" r:id="rId13" xr:uid="{A9FB42A2-42DC-46DA-8A8A-4FE9D78BCB6B}"/>
    <hyperlink ref="C3" r:id="rId14" xr:uid="{C7830AD8-9D26-403A-91F4-8EE9396C5CA4}"/>
    <hyperlink ref="C12" r:id="rId15" xr:uid="{B70C618E-4255-424F-8B1C-206D0146C276}"/>
    <hyperlink ref="C16" r:id="rId16" xr:uid="{60581BFB-2B5E-4065-80FD-36B32C6010FD}"/>
    <hyperlink ref="C27" r:id="rId17" xr:uid="{82DC9C7D-06B7-487D-B04C-EFE5997062CC}"/>
    <hyperlink ref="C28" r:id="rId18" xr:uid="{15C9350A-4F47-4DA3-8C5C-D824860EACC2}"/>
    <hyperlink ref="C30" r:id="rId19" xr:uid="{E42AA80A-E21E-4C78-8816-EAAC349CE8E9}"/>
    <hyperlink ref="C31" r:id="rId20" xr:uid="{C69B33D5-9E09-4CF8-883C-13E59170D440}"/>
    <hyperlink ref="C23" r:id="rId21" xr:uid="{E0E2D8C2-1725-472F-BEAB-F5BEEE055790}"/>
    <hyperlink ref="C5" r:id="rId22" xr:uid="{72A84408-526E-4CEA-8F42-036A0F970029}"/>
    <hyperlink ref="C6" r:id="rId23" xr:uid="{574E1929-DCA9-4836-8F90-475A98091EE1}"/>
    <hyperlink ref="C7" r:id="rId24" xr:uid="{2834647C-372C-4EA4-999B-DEE588C1AEF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53BBB-A303-4DD5-B9D0-47E29E885140}">
  <dimension ref="B2:I16"/>
  <sheetViews>
    <sheetView workbookViewId="0">
      <selection activeCell="G23" sqref="G23"/>
    </sheetView>
  </sheetViews>
  <sheetFormatPr defaultRowHeight="15" x14ac:dyDescent="0.25"/>
  <sheetData>
    <row r="2" spans="2:9" x14ac:dyDescent="0.25">
      <c r="B2" s="39" t="s">
        <v>115</v>
      </c>
    </row>
    <row r="4" spans="2:9" ht="15.75" thickBot="1" x14ac:dyDescent="0.3"/>
    <row r="5" spans="2:9" x14ac:dyDescent="0.25">
      <c r="B5" s="49" t="s">
        <v>37</v>
      </c>
      <c r="C5" s="4" t="s">
        <v>0</v>
      </c>
      <c r="D5" s="5" t="s">
        <v>38</v>
      </c>
      <c r="E5" s="5" t="s">
        <v>39</v>
      </c>
      <c r="F5" s="5" t="s">
        <v>8</v>
      </c>
      <c r="G5" s="5" t="s">
        <v>7</v>
      </c>
      <c r="H5" s="6" t="s">
        <v>40</v>
      </c>
      <c r="I5" t="s">
        <v>44</v>
      </c>
    </row>
    <row r="6" spans="2:9" x14ac:dyDescent="0.25">
      <c r="B6" s="58"/>
      <c r="C6" s="7" t="s">
        <v>16</v>
      </c>
      <c r="D6" t="s">
        <v>45</v>
      </c>
      <c r="E6">
        <v>333</v>
      </c>
      <c r="F6">
        <v>1</v>
      </c>
      <c r="G6">
        <v>1</v>
      </c>
      <c r="H6" s="8">
        <f>'Hopper BOM'!I$40 / 1000 * E6 * G6</f>
        <v>0</v>
      </c>
      <c r="I6" t="s">
        <v>47</v>
      </c>
    </row>
    <row r="7" spans="2:9" x14ac:dyDescent="0.25">
      <c r="B7" s="58"/>
      <c r="C7" s="9" t="s">
        <v>17</v>
      </c>
      <c r="D7" t="s">
        <v>45</v>
      </c>
      <c r="E7">
        <v>19.14</v>
      </c>
      <c r="F7">
        <v>2</v>
      </c>
      <c r="G7">
        <v>2</v>
      </c>
      <c r="H7" s="8">
        <f>'Hopper BOM'!I$40 / 1000 * E7 * G7</f>
        <v>0</v>
      </c>
    </row>
    <row r="8" spans="2:9" x14ac:dyDescent="0.25">
      <c r="B8" s="58"/>
      <c r="C8" s="9" t="s">
        <v>20</v>
      </c>
      <c r="D8" t="s">
        <v>45</v>
      </c>
      <c r="E8">
        <v>98.47</v>
      </c>
      <c r="F8">
        <v>1</v>
      </c>
      <c r="G8">
        <v>1</v>
      </c>
      <c r="H8" s="8">
        <f>'Hopper BOM'!I$40 / 1000 * E8 * G8</f>
        <v>0</v>
      </c>
    </row>
    <row r="9" spans="2:9" x14ac:dyDescent="0.25">
      <c r="B9" s="58"/>
      <c r="C9" s="9" t="s">
        <v>23</v>
      </c>
      <c r="D9" t="s">
        <v>45</v>
      </c>
      <c r="E9">
        <v>28.25</v>
      </c>
      <c r="F9">
        <v>1</v>
      </c>
      <c r="G9">
        <v>1</v>
      </c>
      <c r="H9" s="8">
        <f>'Hopper BOM'!I$40 / 1000 * E9 * G9</f>
        <v>0</v>
      </c>
    </row>
    <row r="10" spans="2:9" x14ac:dyDescent="0.25">
      <c r="B10" s="58"/>
      <c r="C10" s="18" t="s">
        <v>24</v>
      </c>
      <c r="D10" s="14" t="s">
        <v>48</v>
      </c>
      <c r="E10" s="14" t="s">
        <v>25</v>
      </c>
      <c r="F10" s="14">
        <v>1</v>
      </c>
      <c r="G10" s="14">
        <v>2</v>
      </c>
      <c r="H10" s="19"/>
    </row>
    <row r="11" spans="2:9" x14ac:dyDescent="0.25">
      <c r="B11" s="58"/>
      <c r="C11" s="9" t="s">
        <v>28</v>
      </c>
      <c r="D11" t="s">
        <v>45</v>
      </c>
      <c r="E11">
        <v>172.4</v>
      </c>
      <c r="F11">
        <v>2</v>
      </c>
      <c r="G11">
        <v>2</v>
      </c>
      <c r="H11" s="8">
        <f>'Hopper BOM'!I$40 / 1000 * E11 * G11</f>
        <v>0</v>
      </c>
    </row>
    <row r="12" spans="2:9" x14ac:dyDescent="0.25">
      <c r="B12" s="58"/>
      <c r="C12" s="15" t="s">
        <v>32</v>
      </c>
      <c r="D12" t="s">
        <v>45</v>
      </c>
      <c r="E12">
        <v>58.36</v>
      </c>
      <c r="F12">
        <v>2</v>
      </c>
      <c r="G12">
        <v>2</v>
      </c>
      <c r="H12" s="16">
        <f>'Hopper BOM'!I$40 / 1000 * E12 * G12</f>
        <v>0</v>
      </c>
    </row>
    <row r="13" spans="2:9" ht="15.75" thickBot="1" x14ac:dyDescent="0.3">
      <c r="C13" s="54" t="s">
        <v>46</v>
      </c>
      <c r="D13" s="55"/>
      <c r="E13" s="55"/>
      <c r="F13" s="55"/>
      <c r="G13" s="55"/>
      <c r="H13" s="17">
        <f>SUM(H6:H12)</f>
        <v>0</v>
      </c>
    </row>
    <row r="14" spans="2:9" ht="15.75" thickBot="1" x14ac:dyDescent="0.3"/>
    <row r="15" spans="2:9" x14ac:dyDescent="0.25">
      <c r="C15" s="52" t="s">
        <v>49</v>
      </c>
      <c r="D15" s="53"/>
      <c r="E15" s="53"/>
      <c r="F15" s="53"/>
      <c r="G15" s="53"/>
      <c r="H15" s="56">
        <f>'Hopper BOM'!G34 + H13</f>
        <v>840.64</v>
      </c>
    </row>
    <row r="16" spans="2:9" ht="15.75" thickBot="1" x14ac:dyDescent="0.3">
      <c r="C16" s="54"/>
      <c r="D16" s="55"/>
      <c r="E16" s="55"/>
      <c r="F16" s="55"/>
      <c r="G16" s="55"/>
      <c r="H16" s="57"/>
    </row>
  </sheetData>
  <mergeCells count="4">
    <mergeCell ref="C15:G16"/>
    <mergeCell ref="H15:H16"/>
    <mergeCell ref="B5:B12"/>
    <mergeCell ref="C13:G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18B9-BC2D-452B-A586-31298C2D30C6}">
  <dimension ref="A1:R27"/>
  <sheetViews>
    <sheetView workbookViewId="0">
      <selection activeCell="C17" sqref="C17"/>
    </sheetView>
  </sheetViews>
  <sheetFormatPr defaultRowHeight="15" x14ac:dyDescent="0.25"/>
  <cols>
    <col min="2" max="2" width="29.28515625" bestFit="1" customWidth="1"/>
    <col min="3" max="3" width="10.7109375" bestFit="1" customWidth="1"/>
    <col min="4" max="4" width="22" bestFit="1" customWidth="1"/>
    <col min="5" max="5" width="18.140625" bestFit="1" customWidth="1"/>
    <col min="6" max="6" width="13.5703125" bestFit="1" customWidth="1"/>
    <col min="7" max="7" width="12.28515625" bestFit="1" customWidth="1"/>
    <col min="8" max="8" width="19.85546875" bestFit="1" customWidth="1"/>
    <col min="11" max="12" width="20" bestFit="1" customWidth="1"/>
    <col min="13" max="14" width="16.28515625" bestFit="1" customWidth="1"/>
    <col min="15" max="15" width="21.140625" bestFit="1" customWidth="1"/>
    <col min="16" max="16" width="16.5703125" bestFit="1" customWidth="1"/>
    <col min="18" max="18" width="19" bestFit="1" customWidth="1"/>
  </cols>
  <sheetData>
    <row r="1" spans="1:18" ht="15.75" thickBot="1" x14ac:dyDescent="0.3">
      <c r="B1" s="59" t="s">
        <v>56</v>
      </c>
      <c r="C1" s="59"/>
      <c r="D1" s="59"/>
      <c r="E1" s="59"/>
      <c r="F1" s="59"/>
      <c r="G1" s="59"/>
      <c r="H1" s="59"/>
      <c r="J1" s="59" t="s">
        <v>57</v>
      </c>
      <c r="K1" s="59"/>
      <c r="L1" s="59"/>
      <c r="M1" s="59"/>
      <c r="N1" s="59"/>
      <c r="O1" s="59"/>
    </row>
    <row r="2" spans="1:18" ht="15.75" thickBot="1" x14ac:dyDescent="0.3">
      <c r="B2" s="4" t="s">
        <v>0</v>
      </c>
      <c r="C2" s="5" t="s">
        <v>1</v>
      </c>
      <c r="D2" s="5" t="s">
        <v>3</v>
      </c>
      <c r="E2" s="5" t="s">
        <v>75</v>
      </c>
      <c r="F2" s="5" t="s">
        <v>8</v>
      </c>
      <c r="G2" s="5" t="s">
        <v>7</v>
      </c>
      <c r="H2" s="6" t="s">
        <v>9</v>
      </c>
      <c r="J2" s="4" t="s">
        <v>58</v>
      </c>
      <c r="K2" s="36" t="s">
        <v>92</v>
      </c>
      <c r="L2" s="5" t="s">
        <v>61</v>
      </c>
      <c r="M2" s="5" t="s">
        <v>60</v>
      </c>
      <c r="N2" s="33" t="s">
        <v>59</v>
      </c>
      <c r="O2" s="35" t="s">
        <v>64</v>
      </c>
      <c r="P2" s="34" t="s">
        <v>91</v>
      </c>
    </row>
    <row r="3" spans="1:18" ht="15.75" thickBot="1" x14ac:dyDescent="0.3">
      <c r="A3" s="3" t="s">
        <v>51</v>
      </c>
      <c r="B3" s="7" t="s">
        <v>41</v>
      </c>
      <c r="C3" s="1" t="s">
        <v>42</v>
      </c>
      <c r="D3">
        <v>65.72</v>
      </c>
      <c r="E3" s="21"/>
      <c r="F3">
        <v>2</v>
      </c>
      <c r="G3">
        <v>2</v>
      </c>
      <c r="H3" s="8">
        <f>G3*D3</f>
        <v>131.44</v>
      </c>
      <c r="J3" s="9">
        <v>336</v>
      </c>
      <c r="L3">
        <v>900</v>
      </c>
      <c r="M3">
        <v>90</v>
      </c>
      <c r="N3">
        <v>22</v>
      </c>
      <c r="O3" s="31">
        <f>1 / (M3 * 2 * PI() / 60) * N3</f>
        <v>2.3342724986811318</v>
      </c>
      <c r="P3" s="8">
        <f>O3 / (J3 / 1000)</f>
        <v>6.9472395794081301</v>
      </c>
      <c r="R3" s="20" t="s">
        <v>62</v>
      </c>
    </row>
    <row r="4" spans="1:18" x14ac:dyDescent="0.25">
      <c r="B4" s="9" t="s">
        <v>52</v>
      </c>
      <c r="C4" s="1" t="s">
        <v>53</v>
      </c>
      <c r="D4">
        <v>74.430000000000007</v>
      </c>
      <c r="E4" s="21"/>
      <c r="F4">
        <v>2</v>
      </c>
      <c r="G4">
        <v>2</v>
      </c>
      <c r="H4" s="8">
        <f>G4*D4</f>
        <v>148.86000000000001</v>
      </c>
      <c r="J4" s="9">
        <v>157</v>
      </c>
      <c r="L4">
        <v>1075</v>
      </c>
      <c r="M4">
        <v>160</v>
      </c>
      <c r="N4">
        <v>22.43</v>
      </c>
      <c r="O4" s="31">
        <f>1 / (M4 * 2 * PI() / 60) * N4</f>
        <v>1.3386920150817048</v>
      </c>
      <c r="P4" s="8">
        <f t="shared" ref="P4:P27" si="0">O4 / (J4 / 1000)</f>
        <v>8.5267007330044891</v>
      </c>
    </row>
    <row r="5" spans="1:18" x14ac:dyDescent="0.25">
      <c r="B5" s="9" t="s">
        <v>67</v>
      </c>
      <c r="C5" s="1" t="s">
        <v>53</v>
      </c>
      <c r="D5">
        <v>202.62</v>
      </c>
      <c r="E5" s="21"/>
      <c r="F5">
        <v>2</v>
      </c>
      <c r="G5">
        <v>2</v>
      </c>
      <c r="H5" s="8">
        <f>G5*D5</f>
        <v>405.24</v>
      </c>
      <c r="J5" s="9">
        <v>280</v>
      </c>
      <c r="L5">
        <v>1490</v>
      </c>
      <c r="M5">
        <v>100</v>
      </c>
      <c r="N5">
        <v>31.8</v>
      </c>
      <c r="O5" s="31">
        <f>1 / (M5 * 2 * PI() / 60) * N5</f>
        <v>3.0366763141933628</v>
      </c>
      <c r="P5" s="8">
        <f t="shared" si="0"/>
        <v>10.845272550690581</v>
      </c>
    </row>
    <row r="6" spans="1:18" x14ac:dyDescent="0.25">
      <c r="B6" s="9" t="s">
        <v>68</v>
      </c>
      <c r="C6" s="1" t="s">
        <v>69</v>
      </c>
      <c r="D6">
        <v>59.03</v>
      </c>
      <c r="E6" s="21"/>
      <c r="F6">
        <v>2</v>
      </c>
      <c r="G6">
        <v>2</v>
      </c>
      <c r="H6" s="8">
        <f>G6*D6</f>
        <v>118.06</v>
      </c>
      <c r="J6" s="9">
        <v>270</v>
      </c>
      <c r="L6" t="s">
        <v>72</v>
      </c>
      <c r="M6">
        <v>160</v>
      </c>
      <c r="N6">
        <v>38.6</v>
      </c>
      <c r="O6" s="31">
        <f>1 / (M6 * 2 * PI() / 60) * N6</f>
        <v>2.3037678012551854</v>
      </c>
      <c r="P6" s="8">
        <f t="shared" si="0"/>
        <v>8.532473337982168</v>
      </c>
      <c r="R6" t="s">
        <v>70</v>
      </c>
    </row>
    <row r="7" spans="1:18" x14ac:dyDescent="0.25">
      <c r="B7" s="9" t="s">
        <v>71</v>
      </c>
      <c r="C7" s="1" t="s">
        <v>69</v>
      </c>
      <c r="D7">
        <v>88.97</v>
      </c>
      <c r="E7" s="21"/>
      <c r="F7">
        <v>2</v>
      </c>
      <c r="G7">
        <v>2</v>
      </c>
      <c r="H7" s="8">
        <f t="shared" ref="H7:H8" si="1">G7*D7</f>
        <v>177.94</v>
      </c>
      <c r="J7" s="9">
        <v>300.5</v>
      </c>
      <c r="L7" t="s">
        <v>73</v>
      </c>
      <c r="M7">
        <v>95</v>
      </c>
      <c r="N7">
        <v>43.3</v>
      </c>
      <c r="O7" s="31">
        <f t="shared" ref="O7:O8" si="2">1 / (M7 * 2 * PI() / 60) * N7</f>
        <v>4.3524688647657266</v>
      </c>
      <c r="P7" s="8">
        <f t="shared" si="0"/>
        <v>14.484089400218725</v>
      </c>
      <c r="R7" t="s">
        <v>70</v>
      </c>
    </row>
    <row r="8" spans="1:18" ht="15.75" thickBot="1" x14ac:dyDescent="0.3">
      <c r="B8" s="10" t="s">
        <v>74</v>
      </c>
      <c r="C8" s="11" t="s">
        <v>69</v>
      </c>
      <c r="D8" s="12">
        <v>91.53</v>
      </c>
      <c r="E8" s="22"/>
      <c r="F8" s="12">
        <v>2</v>
      </c>
      <c r="G8" s="12">
        <v>2</v>
      </c>
      <c r="H8" s="13">
        <f t="shared" si="1"/>
        <v>183.06</v>
      </c>
      <c r="J8" s="10">
        <v>238.3</v>
      </c>
      <c r="K8" s="12"/>
      <c r="L8" s="12" t="s">
        <v>72</v>
      </c>
      <c r="M8" s="12">
        <v>100</v>
      </c>
      <c r="N8" s="12">
        <v>33.799999999999997</v>
      </c>
      <c r="O8" s="32">
        <f t="shared" si="2"/>
        <v>3.227662245903637</v>
      </c>
      <c r="P8" s="13">
        <f t="shared" si="0"/>
        <v>13.544533134299778</v>
      </c>
      <c r="R8" t="s">
        <v>70</v>
      </c>
    </row>
    <row r="9" spans="1:18" ht="15.75" thickBot="1" x14ac:dyDescent="0.3"/>
    <row r="10" spans="1:18" x14ac:dyDescent="0.25">
      <c r="B10" s="24" t="s">
        <v>83</v>
      </c>
      <c r="C10" s="25" t="s">
        <v>50</v>
      </c>
      <c r="D10" s="26">
        <v>84.99</v>
      </c>
      <c r="E10" s="27"/>
      <c r="F10" s="26">
        <v>2</v>
      </c>
      <c r="G10" s="26">
        <v>2</v>
      </c>
      <c r="H10" s="28">
        <f t="shared" ref="H10:H27" si="3">G10*D10</f>
        <v>169.98</v>
      </c>
      <c r="J10" s="24">
        <v>108</v>
      </c>
      <c r="K10" s="26"/>
      <c r="L10" s="26">
        <v>500</v>
      </c>
      <c r="M10" s="26">
        <v>300</v>
      </c>
      <c r="N10" s="26">
        <v>20</v>
      </c>
      <c r="O10" s="30">
        <f>1 / (M10 * 2 * PI() / 60) * N10</f>
        <v>0.63661977236758138</v>
      </c>
      <c r="P10" s="28">
        <f t="shared" si="0"/>
        <v>5.8946275219220503</v>
      </c>
    </row>
    <row r="11" spans="1:18" x14ac:dyDescent="0.25">
      <c r="B11" s="9" t="s">
        <v>76</v>
      </c>
      <c r="C11" s="1" t="s">
        <v>50</v>
      </c>
      <c r="D11">
        <v>89.99</v>
      </c>
      <c r="E11" s="23"/>
      <c r="F11">
        <v>2</v>
      </c>
      <c r="G11">
        <v>2</v>
      </c>
      <c r="H11" s="8">
        <f t="shared" si="3"/>
        <v>179.98</v>
      </c>
      <c r="J11" s="9">
        <v>128</v>
      </c>
      <c r="L11">
        <v>720</v>
      </c>
      <c r="M11">
        <v>170</v>
      </c>
      <c r="N11">
        <v>15</v>
      </c>
      <c r="O11" s="31">
        <f>1 / (M11 * 2 * PI() / 60) * N11</f>
        <v>0.84258499283944588</v>
      </c>
      <c r="P11" s="8">
        <f t="shared" si="0"/>
        <v>6.5826952565581704</v>
      </c>
    </row>
    <row r="12" spans="1:18" x14ac:dyDescent="0.25">
      <c r="B12" s="9" t="s">
        <v>77</v>
      </c>
      <c r="C12" s="1" t="s">
        <v>50</v>
      </c>
      <c r="D12">
        <v>89.99</v>
      </c>
      <c r="E12" s="23"/>
      <c r="F12">
        <v>2</v>
      </c>
      <c r="G12">
        <v>2</v>
      </c>
      <c r="H12" s="8">
        <f t="shared" si="3"/>
        <v>179.98</v>
      </c>
      <c r="J12" s="9">
        <v>135</v>
      </c>
      <c r="L12">
        <v>760</v>
      </c>
      <c r="M12">
        <v>340</v>
      </c>
      <c r="N12">
        <v>35</v>
      </c>
      <c r="O12" s="31">
        <f t="shared" ref="O12" si="4">1 / (M12 * 2 * PI() / 60) * N12</f>
        <v>0.98301582497935347</v>
      </c>
      <c r="P12" s="8">
        <f t="shared" si="0"/>
        <v>7.2815987035507659</v>
      </c>
    </row>
    <row r="13" spans="1:18" x14ac:dyDescent="0.25">
      <c r="B13" s="9" t="s">
        <v>78</v>
      </c>
      <c r="C13" s="1" t="s">
        <v>50</v>
      </c>
      <c r="D13">
        <v>92.99</v>
      </c>
      <c r="E13" s="23"/>
      <c r="F13">
        <v>2</v>
      </c>
      <c r="G13">
        <v>2</v>
      </c>
      <c r="H13" s="8">
        <f t="shared" si="3"/>
        <v>185.98</v>
      </c>
      <c r="J13" s="9">
        <v>172</v>
      </c>
      <c r="L13">
        <v>910</v>
      </c>
      <c r="M13">
        <v>320</v>
      </c>
      <c r="N13">
        <v>40</v>
      </c>
      <c r="O13" s="31">
        <f t="shared" ref="O13:O27" si="5">1 / (M13 * 2 * PI() / 60) * N13</f>
        <v>1.1936620731892151</v>
      </c>
      <c r="P13" s="8">
        <f t="shared" si="0"/>
        <v>6.9398957743559029</v>
      </c>
      <c r="R13" s="1"/>
    </row>
    <row r="14" spans="1:18" x14ac:dyDescent="0.25">
      <c r="B14" s="9" t="s">
        <v>81</v>
      </c>
      <c r="C14" s="1" t="s">
        <v>50</v>
      </c>
      <c r="D14">
        <v>99.9</v>
      </c>
      <c r="E14" s="23"/>
      <c r="F14">
        <v>2</v>
      </c>
      <c r="G14">
        <v>2</v>
      </c>
      <c r="H14" s="8">
        <f t="shared" si="3"/>
        <v>199.8</v>
      </c>
      <c r="J14" s="9">
        <v>196</v>
      </c>
      <c r="K14">
        <v>24</v>
      </c>
      <c r="L14">
        <v>850</v>
      </c>
      <c r="M14">
        <v>340</v>
      </c>
      <c r="N14">
        <v>35</v>
      </c>
      <c r="O14" s="31">
        <f t="shared" si="5"/>
        <v>0.98301582497935347</v>
      </c>
      <c r="P14" s="8">
        <f t="shared" si="0"/>
        <v>5.0153868621395583</v>
      </c>
      <c r="R14" s="1"/>
    </row>
    <row r="15" spans="1:18" x14ac:dyDescent="0.25">
      <c r="B15" s="9" t="s">
        <v>80</v>
      </c>
      <c r="C15" s="1" t="s">
        <v>50</v>
      </c>
      <c r="D15">
        <v>99.9</v>
      </c>
      <c r="E15" s="23"/>
      <c r="F15">
        <v>2</v>
      </c>
      <c r="G15">
        <v>2</v>
      </c>
      <c r="H15" s="8">
        <f t="shared" si="3"/>
        <v>199.8</v>
      </c>
      <c r="J15" s="9">
        <v>170</v>
      </c>
      <c r="K15" t="s">
        <v>93</v>
      </c>
      <c r="L15">
        <v>1200</v>
      </c>
      <c r="M15">
        <v>240</v>
      </c>
      <c r="N15">
        <v>25</v>
      </c>
      <c r="O15" s="31">
        <f t="shared" si="5"/>
        <v>0.99471839432434606</v>
      </c>
      <c r="P15" s="8">
        <f t="shared" si="0"/>
        <v>5.8512846724961527</v>
      </c>
      <c r="R15" s="1"/>
    </row>
    <row r="16" spans="1:18" x14ac:dyDescent="0.25">
      <c r="B16" s="9" t="s">
        <v>79</v>
      </c>
      <c r="C16" s="1" t="s">
        <v>50</v>
      </c>
      <c r="D16">
        <v>99.9</v>
      </c>
      <c r="E16" s="23"/>
      <c r="F16">
        <v>2</v>
      </c>
      <c r="G16">
        <v>2</v>
      </c>
      <c r="H16" s="8">
        <f t="shared" si="3"/>
        <v>199.8</v>
      </c>
      <c r="J16" s="9">
        <v>170</v>
      </c>
      <c r="K16" t="s">
        <v>94</v>
      </c>
      <c r="L16">
        <v>1000</v>
      </c>
      <c r="M16">
        <v>300</v>
      </c>
      <c r="N16">
        <v>40</v>
      </c>
      <c r="O16" s="31">
        <f t="shared" si="5"/>
        <v>1.2732395447351628</v>
      </c>
      <c r="P16" s="8">
        <f t="shared" si="0"/>
        <v>7.4896443807950748</v>
      </c>
      <c r="R16" s="1"/>
    </row>
    <row r="17" spans="2:18" x14ac:dyDescent="0.25">
      <c r="B17" s="37" t="s">
        <v>96</v>
      </c>
      <c r="C17" s="1" t="s">
        <v>50</v>
      </c>
      <c r="D17">
        <v>107.9</v>
      </c>
      <c r="E17" s="23"/>
      <c r="F17">
        <v>2</v>
      </c>
      <c r="G17">
        <v>2</v>
      </c>
      <c r="H17" s="8">
        <f t="shared" si="3"/>
        <v>215.8</v>
      </c>
      <c r="J17" s="9">
        <v>375</v>
      </c>
      <c r="K17">
        <v>48</v>
      </c>
      <c r="L17">
        <v>1800</v>
      </c>
      <c r="M17">
        <v>170</v>
      </c>
      <c r="N17">
        <v>38</v>
      </c>
      <c r="O17" s="31">
        <f t="shared" si="5"/>
        <v>2.1345486485265961</v>
      </c>
      <c r="P17" s="8">
        <f t="shared" si="0"/>
        <v>5.6921297294042565</v>
      </c>
      <c r="R17" s="1"/>
    </row>
    <row r="18" spans="2:18" ht="15.75" thickBot="1" x14ac:dyDescent="0.3">
      <c r="B18" s="9" t="s">
        <v>84</v>
      </c>
      <c r="C18" s="1" t="s">
        <v>50</v>
      </c>
      <c r="D18">
        <v>107.9</v>
      </c>
      <c r="E18" s="23"/>
      <c r="F18">
        <v>2</v>
      </c>
      <c r="G18">
        <v>2</v>
      </c>
      <c r="H18" s="8">
        <f t="shared" si="3"/>
        <v>215.8</v>
      </c>
      <c r="J18" s="9">
        <v>375</v>
      </c>
      <c r="K18">
        <v>24</v>
      </c>
      <c r="L18">
        <v>1550</v>
      </c>
      <c r="M18">
        <v>340</v>
      </c>
      <c r="N18">
        <v>65</v>
      </c>
      <c r="O18" s="31">
        <f t="shared" si="5"/>
        <v>1.8256008178187992</v>
      </c>
      <c r="P18" s="8">
        <f t="shared" si="0"/>
        <v>4.8682688475167977</v>
      </c>
      <c r="R18" s="1"/>
    </row>
    <row r="19" spans="2:18" ht="15.75" thickBot="1" x14ac:dyDescent="0.3">
      <c r="B19" s="9" t="s">
        <v>82</v>
      </c>
      <c r="C19" s="1" t="s">
        <v>50</v>
      </c>
      <c r="D19">
        <v>109.9</v>
      </c>
      <c r="E19" s="23"/>
      <c r="F19">
        <v>2</v>
      </c>
      <c r="G19">
        <v>2</v>
      </c>
      <c r="H19" s="8">
        <f t="shared" si="3"/>
        <v>219.8</v>
      </c>
      <c r="J19" s="9">
        <v>205</v>
      </c>
      <c r="K19">
        <v>24</v>
      </c>
      <c r="L19">
        <v>840</v>
      </c>
      <c r="M19">
        <v>340</v>
      </c>
      <c r="N19">
        <v>35</v>
      </c>
      <c r="O19" s="31">
        <f t="shared" si="5"/>
        <v>0.98301582497935347</v>
      </c>
      <c r="P19" s="8">
        <f t="shared" si="0"/>
        <v>4.7951991462407486</v>
      </c>
      <c r="R19" s="20" t="s">
        <v>63</v>
      </c>
    </row>
    <row r="20" spans="2:18" x14ac:dyDescent="0.25">
      <c r="B20" s="9" t="s">
        <v>90</v>
      </c>
      <c r="C20" s="1" t="s">
        <v>50</v>
      </c>
      <c r="D20">
        <v>119.99</v>
      </c>
      <c r="E20" s="23"/>
      <c r="F20">
        <v>2</v>
      </c>
      <c r="G20">
        <v>2</v>
      </c>
      <c r="H20" s="8">
        <f t="shared" si="3"/>
        <v>239.98</v>
      </c>
      <c r="J20" s="9">
        <v>215</v>
      </c>
      <c r="K20" t="s">
        <v>95</v>
      </c>
      <c r="L20">
        <v>2500</v>
      </c>
      <c r="M20">
        <v>260</v>
      </c>
      <c r="N20">
        <v>52</v>
      </c>
      <c r="O20" s="31">
        <f t="shared" si="5"/>
        <v>1.909859317102744</v>
      </c>
      <c r="P20" s="8">
        <f t="shared" si="0"/>
        <v>8.8830665911755542</v>
      </c>
      <c r="R20" s="1"/>
    </row>
    <row r="21" spans="2:18" x14ac:dyDescent="0.25">
      <c r="B21" s="9" t="s">
        <v>87</v>
      </c>
      <c r="C21" s="1" t="s">
        <v>50</v>
      </c>
      <c r="D21">
        <v>129</v>
      </c>
      <c r="E21" s="23"/>
      <c r="F21">
        <v>2</v>
      </c>
      <c r="G21">
        <v>2</v>
      </c>
      <c r="H21" s="8">
        <f t="shared" si="3"/>
        <v>258</v>
      </c>
      <c r="J21" s="9">
        <v>280</v>
      </c>
      <c r="K21" t="s">
        <v>95</v>
      </c>
      <c r="L21">
        <v>930</v>
      </c>
      <c r="M21">
        <v>275</v>
      </c>
      <c r="N21">
        <v>52</v>
      </c>
      <c r="O21" s="31">
        <f t="shared" si="5"/>
        <v>1.8056851725335035</v>
      </c>
      <c r="P21" s="8">
        <f t="shared" si="0"/>
        <v>6.4488756161910832</v>
      </c>
    </row>
    <row r="22" spans="2:18" x14ac:dyDescent="0.25">
      <c r="B22" s="9" t="s">
        <v>88</v>
      </c>
      <c r="C22" s="1" t="s">
        <v>50</v>
      </c>
      <c r="D22">
        <v>129.99</v>
      </c>
      <c r="E22" s="23"/>
      <c r="F22">
        <v>2</v>
      </c>
      <c r="G22">
        <v>2</v>
      </c>
      <c r="H22" s="8">
        <f t="shared" si="3"/>
        <v>259.98</v>
      </c>
      <c r="J22" s="9">
        <v>159</v>
      </c>
      <c r="K22" t="s">
        <v>95</v>
      </c>
      <c r="L22">
        <v>1120</v>
      </c>
      <c r="M22">
        <v>160</v>
      </c>
      <c r="N22">
        <v>23.7</v>
      </c>
      <c r="O22" s="31">
        <f t="shared" si="5"/>
        <v>1.4144895567292199</v>
      </c>
      <c r="P22" s="8">
        <f t="shared" si="0"/>
        <v>8.8961607341460365</v>
      </c>
      <c r="R22" s="1"/>
    </row>
    <row r="23" spans="2:18" x14ac:dyDescent="0.25">
      <c r="B23" s="9" t="s">
        <v>89</v>
      </c>
      <c r="C23" s="1" t="s">
        <v>50</v>
      </c>
      <c r="D23">
        <v>129.99</v>
      </c>
      <c r="E23" s="23"/>
      <c r="F23">
        <v>2</v>
      </c>
      <c r="G23">
        <v>2</v>
      </c>
      <c r="H23" s="8">
        <f t="shared" si="3"/>
        <v>259.98</v>
      </c>
      <c r="J23" s="9">
        <v>161</v>
      </c>
      <c r="K23">
        <v>24</v>
      </c>
      <c r="L23">
        <v>1040</v>
      </c>
      <c r="M23">
        <v>320</v>
      </c>
      <c r="N23">
        <v>44.2</v>
      </c>
      <c r="O23" s="31">
        <f t="shared" si="5"/>
        <v>1.3189965908740828</v>
      </c>
      <c r="P23" s="8">
        <f t="shared" si="0"/>
        <v>8.1925254091557935</v>
      </c>
      <c r="R23" s="1"/>
    </row>
    <row r="24" spans="2:18" x14ac:dyDescent="0.25">
      <c r="B24" s="9" t="s">
        <v>86</v>
      </c>
      <c r="C24" s="1" t="s">
        <v>50</v>
      </c>
      <c r="D24">
        <v>139</v>
      </c>
      <c r="E24" s="23"/>
      <c r="F24">
        <v>2</v>
      </c>
      <c r="G24">
        <v>2</v>
      </c>
      <c r="H24" s="8">
        <f t="shared" si="3"/>
        <v>278</v>
      </c>
      <c r="J24" s="9">
        <v>300</v>
      </c>
      <c r="K24" t="s">
        <v>95</v>
      </c>
      <c r="L24">
        <v>2450</v>
      </c>
      <c r="M24">
        <v>180</v>
      </c>
      <c r="N24">
        <v>55</v>
      </c>
      <c r="O24" s="31">
        <f t="shared" si="5"/>
        <v>2.9178406233514145</v>
      </c>
      <c r="P24" s="8">
        <f t="shared" si="0"/>
        <v>9.7261354111713825</v>
      </c>
      <c r="R24" s="1"/>
    </row>
    <row r="25" spans="2:18" x14ac:dyDescent="0.25">
      <c r="B25" s="37" t="s">
        <v>85</v>
      </c>
      <c r="C25" s="1" t="s">
        <v>50</v>
      </c>
      <c r="D25">
        <v>139.9</v>
      </c>
      <c r="E25" s="23"/>
      <c r="F25">
        <v>2</v>
      </c>
      <c r="G25">
        <v>2</v>
      </c>
      <c r="H25" s="8">
        <f t="shared" si="3"/>
        <v>279.8</v>
      </c>
      <c r="J25" s="9">
        <v>345</v>
      </c>
      <c r="K25" t="s">
        <v>95</v>
      </c>
      <c r="L25">
        <v>2000</v>
      </c>
      <c r="M25">
        <v>180</v>
      </c>
      <c r="N25">
        <v>45</v>
      </c>
      <c r="O25" s="31">
        <f t="shared" si="5"/>
        <v>2.3873241463784303</v>
      </c>
      <c r="P25" s="8">
        <f t="shared" si="0"/>
        <v>6.9197801344302334</v>
      </c>
      <c r="R25" s="1"/>
    </row>
    <row r="26" spans="2:18" x14ac:dyDescent="0.25">
      <c r="B26" s="9" t="s">
        <v>66</v>
      </c>
      <c r="C26" s="1" t="s">
        <v>50</v>
      </c>
      <c r="D26">
        <v>309.99</v>
      </c>
      <c r="E26" s="23"/>
      <c r="F26">
        <v>2</v>
      </c>
      <c r="G26">
        <v>2</v>
      </c>
      <c r="H26" s="8">
        <f t="shared" si="3"/>
        <v>619.98</v>
      </c>
      <c r="J26" s="9">
        <v>277</v>
      </c>
      <c r="L26">
        <v>916.8</v>
      </c>
      <c r="M26">
        <v>85</v>
      </c>
      <c r="N26">
        <v>19.100000000000001</v>
      </c>
      <c r="O26" s="31">
        <f t="shared" si="5"/>
        <v>2.1457831150977889</v>
      </c>
      <c r="P26" s="8">
        <f t="shared" si="0"/>
        <v>7.7465094407862409</v>
      </c>
      <c r="R26" s="1"/>
    </row>
    <row r="27" spans="2:18" ht="15.75" thickBot="1" x14ac:dyDescent="0.3">
      <c r="B27" s="10" t="s">
        <v>65</v>
      </c>
      <c r="C27" s="11" t="s">
        <v>50</v>
      </c>
      <c r="D27" s="12">
        <v>309.99</v>
      </c>
      <c r="E27" s="29"/>
      <c r="F27" s="12">
        <v>2</v>
      </c>
      <c r="G27" s="12">
        <v>2</v>
      </c>
      <c r="H27" s="13">
        <f t="shared" si="3"/>
        <v>619.98</v>
      </c>
      <c r="J27" s="10">
        <v>272</v>
      </c>
      <c r="K27" s="12"/>
      <c r="L27" s="12">
        <v>1406.4</v>
      </c>
      <c r="M27" s="12">
        <v>100</v>
      </c>
      <c r="N27" s="12">
        <v>29.3</v>
      </c>
      <c r="O27" s="32">
        <f t="shared" si="5"/>
        <v>2.7979438995555199</v>
      </c>
      <c r="P27" s="13">
        <f t="shared" si="0"/>
        <v>10.286558454248235</v>
      </c>
      <c r="R27" s="1"/>
    </row>
  </sheetData>
  <mergeCells count="2">
    <mergeCell ref="B1:H1"/>
    <mergeCell ref="J1:O1"/>
  </mergeCells>
  <phoneticPr fontId="4" type="noConversion"/>
  <conditionalFormatting sqref="H3:H8 H10:H27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:O8 O10:O27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C11" r:id="rId1" xr:uid="{8F5C4D43-3239-4CD1-ACC0-9E7B0A443D87}"/>
    <hyperlink ref="C4" r:id="rId2" xr:uid="{1305BA24-8921-4BA1-A3F2-917B71F9DDC6}"/>
    <hyperlink ref="R3" r:id="rId3" xr:uid="{88AD7160-CDC3-48B0-BDB2-9BF60733AE53}"/>
    <hyperlink ref="R19" r:id="rId4" xr:uid="{ADAF8F30-AF19-4754-8E27-CD133CB92F83}"/>
    <hyperlink ref="C19" r:id="rId5" xr:uid="{39B9C1F6-E73C-4752-9A20-C68520F30458}"/>
    <hyperlink ref="C26" r:id="rId6" xr:uid="{8CC7CE6A-1492-4A13-8EE7-585CB0C7DF2F}"/>
    <hyperlink ref="C27" r:id="rId7" xr:uid="{30B240B4-F5B9-4944-A2A6-FAF32A2D1BC8}"/>
    <hyperlink ref="C5" r:id="rId8" xr:uid="{1113564B-9E5D-47A5-B0EE-F7D202D19F67}"/>
    <hyperlink ref="C6" r:id="rId9" xr:uid="{E601B089-71F4-44F9-866B-7DF6A1E7475C}"/>
    <hyperlink ref="C7" r:id="rId10" xr:uid="{A8A673D7-FFC6-4D88-8F8E-E8CF70AFA622}"/>
    <hyperlink ref="C8" r:id="rId11" xr:uid="{3DED6F70-A266-46E4-AA81-FF9531F6C3AE}"/>
    <hyperlink ref="C12" r:id="rId12" xr:uid="{4066AA6A-9E9D-4427-9194-44488569899D}"/>
    <hyperlink ref="C17" r:id="rId13" xr:uid="{93B9EE67-BE9E-4073-9F04-75A6CC1F01DA}"/>
    <hyperlink ref="C14" r:id="rId14" xr:uid="{D2D511C7-EF42-40B6-831F-43544D023583}"/>
    <hyperlink ref="C15" r:id="rId15" xr:uid="{3A9E0313-3F7F-4132-BC12-55D2521A18B7}"/>
    <hyperlink ref="C16" r:id="rId16" xr:uid="{9E918EEB-889B-4F89-90BD-25B27D7672A2}"/>
    <hyperlink ref="C13" r:id="rId17" xr:uid="{A9B06EC6-9D51-4848-93A1-1392E978ED38}"/>
    <hyperlink ref="C10" r:id="rId18" xr:uid="{7BF20D38-CF43-4565-9E0F-4C5706AE92D9}"/>
    <hyperlink ref="C18" r:id="rId19" xr:uid="{64A5352E-BEF6-4DBE-8016-36BB31171C6C}"/>
    <hyperlink ref="C25" r:id="rId20" xr:uid="{9FE0F4DB-C318-42E0-8F04-0B11D62A779B}"/>
    <hyperlink ref="C24" r:id="rId21" xr:uid="{23DEE869-D2AE-48BC-8137-FA1A3BAEF272}"/>
    <hyperlink ref="C21" r:id="rId22" xr:uid="{8C395167-5250-4A43-BA7C-F9C56DAADCB3}"/>
    <hyperlink ref="C22" r:id="rId23" xr:uid="{280EA8C6-EF2D-485E-9401-E2C31976AF8F}"/>
    <hyperlink ref="C23" r:id="rId24" xr:uid="{C5AC88D1-7279-482F-AD5A-0D65484B7EAB}"/>
    <hyperlink ref="C20" r:id="rId25" xr:uid="{235D2F26-BDCF-468C-B6C4-0105B89B3D2C}"/>
    <hyperlink ref="C3" r:id="rId26" xr:uid="{1C48BF4A-483F-4FFE-AB74-EF5B940006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Hopper BOM</vt:lpstr>
      <vt:lpstr>3D Printing</vt:lpstr>
      <vt:lpstr>Alternate Motors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Perry</dc:creator>
  <cp:lastModifiedBy>John Perry</cp:lastModifiedBy>
  <dcterms:created xsi:type="dcterms:W3CDTF">2026-07-26T19:01:32Z</dcterms:created>
  <dcterms:modified xsi:type="dcterms:W3CDTF">2026-09-16T10:58:46Z</dcterms:modified>
</cp:coreProperties>
</file>